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Beneish" sheetId="3" state="visible" r:id="rId5"/>
    <sheet name="Dechow" sheetId="4" state="visible" r:id="rId6"/>
    <sheet name="Timeline" sheetId="5" state="visible" r:id="rId7"/>
    <sheet name="Validation" sheetId="6" state="visible" r:id="rId8"/>
    <sheet name="Universe" sheetId="7" state="visible" r:id="rId9"/>
    <sheet name="Market" sheetId="8" state="visible" r:id="rId10"/>
    <sheet name="Checks" sheetId="9" state="visible" r:id="rId11"/>
  </sheets>
  <calcPr iterateCount="100" refMode="A1" iterate="false" iterateDelta="0.0001"/>
</workbook>
</file>

<file path=xl/sharedStrings.xml><?xml version="1.0" encoding="utf-8"?>
<sst xmlns="http://schemas.openxmlformats.org/spreadsheetml/2006/main" count="989" uniqueCount="308">
  <si>
    <t xml:space="preserve">Super Micro Forensic Analysis: Earnings Quality and Accounting Red Flags</t>
  </si>
  <si>
    <t xml:space="preserve">Forensic screen · Prepared by Alessandro Radice · Educational project, not investment advice · June 2025</t>
  </si>
  <si>
    <t xml:space="preserve">Question</t>
  </si>
  <si>
    <t xml:space="preserve">On 30 June 2025, after Super Micro filed its delayed fiscal 2024 10-K (clean opinion on the numbers, adverse on internal controls): do the financial statements carry red flags, would a systematic screen have seen trouble before the August 2024 short report, and how reliable is such a screen?</t>
  </si>
  <si>
    <t xml:space="preserve">Inputs</t>
  </si>
  <si>
    <t xml:space="preserve">Choose any quarter (yellow cell). The trailing-twelve-month financials for that quarter, the year before and two years before are pulled from the Timeline sheet. Thresholds are switches too.</t>
  </si>
  <si>
    <t xml:space="preserve">Beneish</t>
  </si>
  <si>
    <t xml:space="preserve">The eight Beneish (1999) indices and the M-score for the chosen quarter, with each index's contribution from a neutral company.</t>
  </si>
  <si>
    <t xml:space="preserve">Dechow</t>
  </si>
  <si>
    <t xml:space="preserve">The Dechow, Ge, Larson and Sloan (2011) F-score, model 1, for the chosen quarter, with RSST accruals.</t>
  </si>
  <si>
    <t xml:space="preserve">Timeline</t>
  </si>
  <si>
    <t xml:space="preserve">Every quarter from June 2013 to March 2025, with the financials as first filed (SEC XBRL, point in time) and every score recomputed by formula.</t>
  </si>
  <si>
    <t xml:space="preserve">Validation</t>
  </si>
  <si>
    <t xml:space="preserve">16 companies the SEC charged or that restated inflated earnings. Each misstated year as first filed, scored by formula; hit rates at the thresholds on Inputs.</t>
  </si>
  <si>
    <t xml:space="preserve">Universe</t>
  </si>
  <si>
    <t xml:space="preserve">M-score and F-score for 1,235 US operating companies (2023 against 2022, SEC frames API), used for false-alarm rates and percentiles.</t>
  </si>
  <si>
    <t xml:space="preserve">Market</t>
  </si>
  <si>
    <t xml:space="preserve">Daily closes of Super Micro and the Nasdaq-100 (QQQ), split-adjusted; beta and abnormal returns on the event days by formula.</t>
  </si>
  <si>
    <t xml:space="preserve">Checks</t>
  </si>
  <si>
    <t xml:space="preserve">Reconciliation of this workbook with the Python engine (Super_Micro_Forensic_Analysis.ipynb).</t>
  </si>
  <si>
    <t xml:space="preserve">Units</t>
  </si>
  <si>
    <t xml:space="preserve">Financial items in $ millions. Missing XBRL items show "n/a": the formulas then set that index to neutral (1 for Beneish indices, 0 for F-score inputs), as the Python engine does.</t>
  </si>
  <si>
    <t xml:space="preserve">Colour code</t>
  </si>
  <si>
    <t xml:space="preserve">Blue = hard-coded input · Black = formula · Green = link to another sheet · Yellow fill = switch · Red fill = flag.</t>
  </si>
  <si>
    <t xml:space="preserve">Sources</t>
  </si>
  <si>
    <t xml:space="preserve">SEC EDGAR XBRL company facts, frames and submissions APIs; DoltHub post-no-preference/stocks; SEC press releases and orders for the validation cases. Beneish (1999); Dechow et al. (2011); Richardson et al. (2005).</t>
  </si>
  <si>
    <t xml:space="preserve">Switches, model coefficients and the financials of the selected quarter ($ millions)</t>
  </si>
  <si>
    <t xml:space="preserve">Switches</t>
  </si>
  <si>
    <t xml:space="preserve">Quarter end to analyse</t>
  </si>
  <si>
    <t xml:space="preserve">Any quarter end on the Timeline sheet. 31 Mar 2024 = the 10-Q of 6 May 2024, before the short report</t>
  </si>
  <si>
    <t xml:space="preserve">M-score threshold</t>
  </si>
  <si>
    <t xml:space="preserve">Beneish (1999); −2.22 is a common stricter screen</t>
  </si>
  <si>
    <t xml:space="preserve">F-score threshold</t>
  </si>
  <si>
    <t xml:space="preserve">Dechow et al. (2011): above 1 elevated, above 1.85 substantial, above 2.45 high risk</t>
  </si>
  <si>
    <t xml:space="preserve">Row on the Timeline sheet</t>
  </si>
  <si>
    <t xml:space="preserve">Looked up from the date above</t>
  </si>
  <si>
    <t xml:space="preserve">Filed</t>
  </si>
  <si>
    <t xml:space="preserve">Beneish M-score coefficients</t>
  </si>
  <si>
    <t xml:space="preserve">Value</t>
  </si>
  <si>
    <t xml:space="preserve">Source</t>
  </si>
  <si>
    <t xml:space="preserve">Intercept</t>
  </si>
  <si>
    <t xml:space="preserve">Beneish (1999), Financial Analysts Journal 55(5), unweighted probit</t>
  </si>
  <si>
    <t xml:space="preserve">DSRI · Days sales in receivables index</t>
  </si>
  <si>
    <t xml:space="preserve">GMI · Gross margin index</t>
  </si>
  <si>
    <t xml:space="preserve">AQI · Asset quality index</t>
  </si>
  <si>
    <t xml:space="preserve">SGI · Sales growth index</t>
  </si>
  <si>
    <t xml:space="preserve">DEPI · Depreciation index</t>
  </si>
  <si>
    <t xml:space="preserve">SGAI · SG&amp;A index</t>
  </si>
  <si>
    <t xml:space="preserve">TATA · Total accruals to total assets</t>
  </si>
  <si>
    <t xml:space="preserve">LVGI · Leverage index</t>
  </si>
  <si>
    <t xml:space="preserve">Dechow F-score coefficients (model 1)</t>
  </si>
  <si>
    <t xml:space="preserve">Dechow, Ge, Larson and Sloan (2011), Contemporary Accounting Research 28(1)</t>
  </si>
  <si>
    <t xml:space="preserve">RSST accruals</t>
  </si>
  <si>
    <t xml:space="preserve">Change in receivables</t>
  </si>
  <si>
    <t xml:space="preserve">Change in inventory</t>
  </si>
  <si>
    <t xml:space="preserve">Soft assets</t>
  </si>
  <si>
    <t xml:space="preserve">Change in cash sales</t>
  </si>
  <si>
    <t xml:space="preserve">Change in ROA</t>
  </si>
  <si>
    <t xml:space="preserve">Securities issued (0/1)</t>
  </si>
  <si>
    <t xml:space="preserve">Unconditional misstatement probability</t>
  </si>
  <si>
    <t xml:space="preserve">Selected quarter, trailing twelve months ($M)</t>
  </si>
  <si>
    <t xml:space="preserve">This year (t)</t>
  </si>
  <si>
    <t xml:space="preserve">Year before (t−1)</t>
  </si>
  <si>
    <t xml:space="preserve">Two years before (t−2)</t>
  </si>
  <si>
    <t xml:space="preserve">Note</t>
  </si>
  <si>
    <t xml:space="preserve">Sales</t>
  </si>
  <si>
    <t xml:space="preserve">Flows are trailing twelve months; balances at the quarter end</t>
  </si>
  <si>
    <t xml:space="preserve">Cost of sales</t>
  </si>
  <si>
    <t xml:space="preserve">SG&amp;A</t>
  </si>
  <si>
    <t xml:space="preserve">Depreciation</t>
  </si>
  <si>
    <t xml:space="preserve">Net income</t>
  </si>
  <si>
    <t xml:space="preserve">Operating cash flow</t>
  </si>
  <si>
    <t xml:space="preserve">Debt/equity issued</t>
  </si>
  <si>
    <t xml:space="preserve">Proceeds from debt or equity issued in the period (F-score issuance dummy)</t>
  </si>
  <si>
    <t xml:space="preserve">Receivables</t>
  </si>
  <si>
    <t xml:space="preserve">Inventory</t>
  </si>
  <si>
    <t xml:space="preserve">Current assets</t>
  </si>
  <si>
    <t xml:space="preserve">Total assets</t>
  </si>
  <si>
    <t xml:space="preserve">Net PP&amp;E</t>
  </si>
  <si>
    <t xml:space="preserve">Cash</t>
  </si>
  <si>
    <t xml:space="preserve">Short-term investments</t>
  </si>
  <si>
    <t xml:space="preserve">Long-term investments</t>
  </si>
  <si>
    <t xml:space="preserve">Current liabilities</t>
  </si>
  <si>
    <t xml:space="preserve">Total liabilities</t>
  </si>
  <si>
    <t xml:space="preserve">Long-term debt</t>
  </si>
  <si>
    <t xml:space="preserve">Current debt</t>
  </si>
  <si>
    <t xml:space="preserve">Beneish M-score</t>
  </si>
  <si>
    <t xml:space="preserve">Selected quarter on Inputs!C6 · each index against the year before · contribution = coefficient × (index − neutral)</t>
  </si>
  <si>
    <t xml:space="preserve">Quarter end</t>
  </si>
  <si>
    <t xml:space="preserve">Index</t>
  </si>
  <si>
    <t xml:space="preserve">Coefficient</t>
  </si>
  <si>
    <t xml:space="preserve">Neutral</t>
  </si>
  <si>
    <t xml:space="preserve">Contribution</t>
  </si>
  <si>
    <t xml:space="preserve">What a high value means</t>
  </si>
  <si>
    <t xml:space="preserve">Receivables growing faster than sales</t>
  </si>
  <si>
    <t xml:space="preserve">Gross margin shrinking</t>
  </si>
  <si>
    <t xml:space="preserve">More costs capitalised as intangible or other assets</t>
  </si>
  <si>
    <t xml:space="preserve">Fast growth, which raises pressure and opportunity</t>
  </si>
  <si>
    <t xml:space="preserve">Depreciating more slowly</t>
  </si>
  <si>
    <t xml:space="preserve">Overheads growing faster than sales (negative weight)</t>
  </si>
  <si>
    <t xml:space="preserve">Profit not backed by operating cash flow</t>
  </si>
  <si>
    <t xml:space="preserve">More leverage (negative weight in the model)</t>
  </si>
  <si>
    <t xml:space="preserve">Neutral company (all indices at 1, no accruals)</t>
  </si>
  <si>
    <t xml:space="preserve">M-score</t>
  </si>
  <si>
    <t xml:space="preserve">Check: neutral + contributions</t>
  </si>
  <si>
    <t xml:space="preserve">Flag (above the threshold on Inputs)</t>
  </si>
  <si>
    <t xml:space="preserve">Same quarter on the Timeline sheet</t>
  </si>
  <si>
    <t xml:space="preserve">Beneish (1999) estimated the model on 74 manipulators and 2,332 controls (1982 to 1992). Above −1.78 a company looks more like the manipulators; the threshold is a convention, not a probability.</t>
  </si>
  <si>
    <t xml:space="preserve">Dechow F-score</t>
  </si>
  <si>
    <t xml:space="preserve">Selected quarter on Inputs!C6 · model 1 of Dechow, Ge, Larson and Sloan (2011)</t>
  </si>
  <si>
    <t xml:space="preserve">Variable</t>
  </si>
  <si>
    <t xml:space="preserve">Definition</t>
  </si>
  <si>
    <t xml:space="preserve">Change in (working capital + net non-current operating assets + net financial assets), over average total assets (Richardson et al., 2005)</t>
  </si>
  <si>
    <t xml:space="preserve">Change in receivables over average total assets</t>
  </si>
  <si>
    <t xml:space="preserve">Change in inventory over average total assets</t>
  </si>
  <si>
    <t xml:space="preserve">(Total assets − net PP&amp;E − cash) / total assets</t>
  </si>
  <si>
    <t xml:space="preserve">Growth in cash sales (sales minus the change in receivables)</t>
  </si>
  <si>
    <t xml:space="preserve">Change in return on average assets</t>
  </si>
  <si>
    <t xml:space="preserve">1 if debt or equity was issued in the period</t>
  </si>
  <si>
    <t xml:space="preserve">Predicted value (logit)</t>
  </si>
  <si>
    <t xml:space="preserve">Probability of misstatement</t>
  </si>
  <si>
    <t xml:space="preserve">F-score (probability / 0.37% base rate)</t>
  </si>
  <si>
    <t xml:space="preserve">Risk band</t>
  </si>
  <si>
    <t xml:space="preserve">Change in cash sales and change in ROA need the year t−2; when it is missing both are set to 0, as in the Python engine.</t>
  </si>
  <si>
    <t xml:space="preserve">Super Micro, trailing twelve months at each quarter end, as first filed · $ millions · scores by formula</t>
  </si>
  <si>
    <t xml:space="preserve">Complete</t>
  </si>
  <si>
    <t xml:space="preserve">F-score</t>
  </si>
  <si>
    <t xml:space="preserve">Accruals / assets</t>
  </si>
  <si>
    <t xml:space="preserve">CFO / net income</t>
  </si>
  <si>
    <t xml:space="preserve">Receivable days</t>
  </si>
  <si>
    <t xml:space="preserve">Inventory days</t>
  </si>
  <si>
    <t xml:space="preserve">M flag</t>
  </si>
  <si>
    <t xml:space="preserve">F flag</t>
  </si>
  <si>
    <t xml:space="preserve">DSRI</t>
  </si>
  <si>
    <t xml:space="preserve">GMI</t>
  </si>
  <si>
    <t xml:space="preserve">AQI</t>
  </si>
  <si>
    <t xml:space="preserve">SGI</t>
  </si>
  <si>
    <t xml:space="preserve">DEPI</t>
  </si>
  <si>
    <t xml:space="preserve">SGAI</t>
  </si>
  <si>
    <t xml:space="preserve">TATA</t>
  </si>
  <si>
    <t xml:space="preserve">LVGI</t>
  </si>
  <si>
    <t xml:space="preserve">F-score logit</t>
  </si>
  <si>
    <t xml:space="preserve">t: Sales</t>
  </si>
  <si>
    <t xml:space="preserve">t: Cost of sales</t>
  </si>
  <si>
    <t xml:space="preserve">t: SG&amp;A</t>
  </si>
  <si>
    <t xml:space="preserve">t: Depreciation</t>
  </si>
  <si>
    <t xml:space="preserve">t: Net income</t>
  </si>
  <si>
    <t xml:space="preserve">t: Operating cash flow</t>
  </si>
  <si>
    <t xml:space="preserve">t: Debt/equity issued</t>
  </si>
  <si>
    <t xml:space="preserve">t: Receivables</t>
  </si>
  <si>
    <t xml:space="preserve">t: Inventory</t>
  </si>
  <si>
    <t xml:space="preserve">t: Current assets</t>
  </si>
  <si>
    <t xml:space="preserve">t: Total assets</t>
  </si>
  <si>
    <t xml:space="preserve">t: Net PP&amp;E</t>
  </si>
  <si>
    <t xml:space="preserve">t: Cash</t>
  </si>
  <si>
    <t xml:space="preserve">t: Short-term investments</t>
  </si>
  <si>
    <t xml:space="preserve">t: Long-term investments</t>
  </si>
  <si>
    <t xml:space="preserve">t: Current liabilities</t>
  </si>
  <si>
    <t xml:space="preserve">t: Total liabilities</t>
  </si>
  <si>
    <t xml:space="preserve">t: Long-term debt</t>
  </si>
  <si>
    <t xml:space="preserve">t: Current debt</t>
  </si>
  <si>
    <t xml:space="preserve">t−1: Sales</t>
  </si>
  <si>
    <t xml:space="preserve">t−1: Cost of sales</t>
  </si>
  <si>
    <t xml:space="preserve">t−1: SG&amp;A</t>
  </si>
  <si>
    <t xml:space="preserve">t−1: Depreciation</t>
  </si>
  <si>
    <t xml:space="preserve">t−1: Net income</t>
  </si>
  <si>
    <t xml:space="preserve">t−1: Operating cash flow</t>
  </si>
  <si>
    <t xml:space="preserve">t−1: Debt/equity issued</t>
  </si>
  <si>
    <t xml:space="preserve">t−1: Receivables</t>
  </si>
  <si>
    <t xml:space="preserve">t−1: Inventory</t>
  </si>
  <si>
    <t xml:space="preserve">t−1: Current assets</t>
  </si>
  <si>
    <t xml:space="preserve">t−1: Total assets</t>
  </si>
  <si>
    <t xml:space="preserve">t−1: Net PP&amp;E</t>
  </si>
  <si>
    <t xml:space="preserve">t−1: Cash</t>
  </si>
  <si>
    <t xml:space="preserve">t−1: Short-term investments</t>
  </si>
  <si>
    <t xml:space="preserve">t−1: Long-term investments</t>
  </si>
  <si>
    <t xml:space="preserve">t−1: Current liabilities</t>
  </si>
  <si>
    <t xml:space="preserve">t−1: Total liabilities</t>
  </si>
  <si>
    <t xml:space="preserve">t−1: Long-term debt</t>
  </si>
  <si>
    <t xml:space="preserve">t−1: Current debt</t>
  </si>
  <si>
    <t xml:space="preserve">t−2: Receivables</t>
  </si>
  <si>
    <t xml:space="preserve">t−2: Sales</t>
  </si>
  <si>
    <t xml:space="preserve">t−2: Total assets</t>
  </si>
  <si>
    <t xml:space="preserve">t−2: Net income</t>
  </si>
  <si>
    <t xml:space="preserve">yes</t>
  </si>
  <si>
    <t xml:space="preserve">n/a</t>
  </si>
  <si>
    <t xml:space="preserve">no</t>
  </si>
  <si>
    <t xml:space="preserve">Complete = every Beneish index available. Quarters to March 2019 were filed late in December 2019, when the prior-year balance sheets were not re-reported; their indices fall back to neutral.</t>
  </si>
  <si>
    <t xml:space="preserve">Financials are as first filed: the value each fact had in the first 10-K or 10-Q covering that quarter, from the SEC XBRL company-facts API with filing dates.</t>
  </si>
  <si>
    <t xml:space="preserve">Validation: companies the SEC later charged</t>
  </si>
  <si>
    <t xml:space="preserve">Each misstated fiscal year as first filed · $ millions · thresholds on Inputs</t>
  </si>
  <si>
    <t xml:space="preserve">Company</t>
  </si>
  <si>
    <t xml:space="preserve">Ticker</t>
  </si>
  <si>
    <t xml:space="preserve">Fiscal year</t>
  </si>
  <si>
    <t xml:space="preserve">Usable</t>
  </si>
  <si>
    <t xml:space="preserve">Either</t>
  </si>
  <si>
    <t xml:space="preserve">Both</t>
  </si>
  <si>
    <t xml:space="preserve">Super Micro Computer</t>
  </si>
  <si>
    <t xml:space="preserve">SMCI</t>
  </si>
  <si>
    <t xml:space="preserve">MiMedx</t>
  </si>
  <si>
    <t xml:space="preserve">MDXG</t>
  </si>
  <si>
    <t xml:space="preserve">Synchronoss</t>
  </si>
  <si>
    <t xml:space="preserve">SNCR</t>
  </si>
  <si>
    <t xml:space="preserve">comScore</t>
  </si>
  <si>
    <t xml:space="preserve">SCOR</t>
  </si>
  <si>
    <t xml:space="preserve">Osiris Therapeutics</t>
  </si>
  <si>
    <t xml:space="preserve">OSIR</t>
  </si>
  <si>
    <t xml:space="preserve">MagnaChip</t>
  </si>
  <si>
    <t xml:space="preserve">MX</t>
  </si>
  <si>
    <t xml:space="preserve">Orthofix</t>
  </si>
  <si>
    <t xml:space="preserve">OFIX</t>
  </si>
  <si>
    <t xml:space="preserve">Pareteum</t>
  </si>
  <si>
    <t xml:space="preserve">TEUM</t>
  </si>
  <si>
    <t xml:space="preserve">Iconix Brand</t>
  </si>
  <si>
    <t xml:space="preserve">ICON</t>
  </si>
  <si>
    <t xml:space="preserve">Granite Construction</t>
  </si>
  <si>
    <t xml:space="preserve">GVA</t>
  </si>
  <si>
    <t xml:space="preserve">Diamond Foods</t>
  </si>
  <si>
    <t xml:space="preserve">DMND</t>
  </si>
  <si>
    <t xml:space="preserve">Hertz Global</t>
  </si>
  <si>
    <t xml:space="preserve">HTZ</t>
  </si>
  <si>
    <t xml:space="preserve">Roadrunner Transportation</t>
  </si>
  <si>
    <t xml:space="preserve">RRTS</t>
  </si>
  <si>
    <t xml:space="preserve">Kraft Heinz</t>
  </si>
  <si>
    <t xml:space="preserve">KHC</t>
  </si>
  <si>
    <t xml:space="preserve">Celadon Group</t>
  </si>
  <si>
    <t xml:space="preserve">CGI</t>
  </si>
  <si>
    <t xml:space="preserve">Marrone Bio</t>
  </si>
  <si>
    <t xml:space="preserve">MBII</t>
  </si>
  <si>
    <t xml:space="preserve">Hit rates at the thresholds on Inputs</t>
  </si>
  <si>
    <t xml:space="preserve">Rule</t>
  </si>
  <si>
    <t xml:space="preserve">Years flagged</t>
  </si>
  <si>
    <t xml:space="preserve">Usable years</t>
  </si>
  <si>
    <t xml:space="preserve">Hit rate</t>
  </si>
  <si>
    <t xml:space="preserve">Companies caught</t>
  </si>
  <si>
    <t xml:space="preserve">Companies</t>
  </si>
  <si>
    <t xml:space="preserve">All filers flagged</t>
  </si>
  <si>
    <t xml:space="preserve">Lift</t>
  </si>
  <si>
    <t xml:space="preserve">M-score only</t>
  </si>
  <si>
    <t xml:space="preserve">F-score only</t>
  </si>
  <si>
    <t xml:space="preserve">Either flag</t>
  </si>
  <si>
    <t xml:space="preserve">Both flags</t>
  </si>
  <si>
    <t xml:space="preserve">Companies with at least one flagged year</t>
  </si>
  <si>
    <t xml:space="preserve">Usable = at most two Beneish indices missing. Hertz and Diamond Foods lack standard tags in the misstated years and are excluded, as in the notebook. Super Micro fiscal 2017 was first filed in May 2019, already restated.</t>
  </si>
  <si>
    <t xml:space="preserve">Universe: US operating companies, 2023 against 2022</t>
  </si>
  <si>
    <t xml:space="preserve">M-score and F-score from the Python engine on SEC frames data (sales and assets above $50M, complete data)</t>
  </si>
  <si>
    <t xml:space="preserve">CIK</t>
  </si>
  <si>
    <t xml:space="preserve">Statistic</t>
  </si>
  <si>
    <t xml:space="preserve">Median M-score</t>
  </si>
  <si>
    <t xml:space="preserve">Median F-score</t>
  </si>
  <si>
    <t xml:space="preserve">Share with M above threshold</t>
  </si>
  <si>
    <t xml:space="preserve">Share with F above threshold</t>
  </si>
  <si>
    <t xml:space="preserve">Share with both flags</t>
  </si>
  <si>
    <t xml:space="preserve">Super Micro M-score, 31 Mar 2024</t>
  </si>
  <si>
    <t xml:space="preserve">Super Micro F-score, 31 Mar 2024</t>
  </si>
  <si>
    <t xml:space="preserve">Percentile of Super Micro, M</t>
  </si>
  <si>
    <t xml:space="preserve">Percentile of Super Micro, F</t>
  </si>
  <si>
    <t xml:space="preserve">Market reaction</t>
  </si>
  <si>
    <t xml:space="preserve">Daily closes, split-adjusted (Super Micro 10-for-1 on 1 Oct 2024) · abnormal return = return − beta × QQQ return</t>
  </si>
  <si>
    <t xml:space="preserve">Date</t>
  </si>
  <si>
    <t xml:space="preserve">QQQ</t>
  </si>
  <si>
    <t xml:space="preserve">SMCI return</t>
  </si>
  <si>
    <t xml:space="preserve">QQQ return</t>
  </si>
  <si>
    <t xml:space="preserve">Abnormal</t>
  </si>
  <si>
    <t xml:space="preserve">Estimation window (rows)</t>
  </si>
  <si>
    <t xml:space="preserve">130:401</t>
  </si>
  <si>
    <t xml:space="preserve">Beta of Super Micro to QQQ, 1 Jul 2023 to 31 Jul 2024</t>
  </si>
  <si>
    <t xml:space="preserve">Event</t>
  </si>
  <si>
    <t xml:space="preserve">Close</t>
  </si>
  <si>
    <t xml:space="preserve">Day return</t>
  </si>
  <si>
    <t xml:space="preserve">Record close of $118.81 (split-adjusted), five days before joining the S&amp;P 500.</t>
  </si>
  <si>
    <t xml:space="preserve">Third-quarter 10-Q filed. The screen already reads M +0.29, F 4.0.</t>
  </si>
  <si>
    <t xml:space="preserve">Q4 FY24 results after the close on 6 Aug: gross margin 11.2%, down from 17.0% a year earlier.</t>
  </si>
  <si>
    <t xml:space="preserve">Hindenburg Research publishes its short report: accounting manipulation, related parties, rehired executives.</t>
  </si>
  <si>
    <t xml:space="preserve">Super Micro delays its FY2024 10-K to assess internal controls.</t>
  </si>
  <si>
    <t xml:space="preserve">The Wall Street Journal reports a Justice Department probe.</t>
  </si>
  <si>
    <t xml:space="preserve">Ernst &amp; Young resigns: it can "no longer rely on management's and the Audit Committee's representations".</t>
  </si>
  <si>
    <t xml:space="preserve">BDO appointed auditor and compliance plan filed with Nasdaq (announced after the close on 18 Nov).</t>
  </si>
  <si>
    <t xml:space="preserve">Special committee finds no evidence of misconduct by management; recommends a new CFO.</t>
  </si>
  <si>
    <t xml:space="preserve">FY2024 10-K filed on 25 Feb: no restatement, adverse opinion on internal controls. Nasdaq compliance regained.</t>
  </si>
  <si>
    <t xml:space="preserve">Latest 10-Q: trailing operating cash flow back above zero.</t>
  </si>
  <si>
    <t xml:space="preserve">Close on 6 May 2024 (10-Q)</t>
  </si>
  <si>
    <t xml:space="preserve">Close on 14 Nov 2024, the low of 2024</t>
  </si>
  <si>
    <t xml:space="preserve">Change, 10-Q to the low</t>
  </si>
  <si>
    <t xml:space="preserve">QQQ over the same days</t>
  </si>
  <si>
    <t xml:space="preserve">Reconciliation with the Python engine (Super_Micro_Forensic_Analysis.ipynb)</t>
  </si>
  <si>
    <t xml:space="preserve">Item</t>
  </si>
  <si>
    <t xml:space="preserve">Excel</t>
  </si>
  <si>
    <t xml:space="preserve">Python</t>
  </si>
  <si>
    <t xml:space="preserve">Difference</t>
  </si>
  <si>
    <t xml:space="preserve">OK</t>
  </si>
  <si>
    <t xml:space="preserve">M-score, TTM to 31 Mar 2024 (10-Q of 6 May 2024)</t>
  </si>
  <si>
    <t xml:space="preserve">F-score, TTM to 31 Mar 2024</t>
  </si>
  <si>
    <t xml:space="preserve">M-score, fiscal 2024 (10-K of 25 Feb 2025)</t>
  </si>
  <si>
    <t xml:space="preserve">F-score, fiscal 2024</t>
  </si>
  <si>
    <t xml:space="preserve">M-score, TTM to 31 Mar 2025 (10-Q of 12 May 2025)</t>
  </si>
  <si>
    <t xml:space="preserve">F-score, TTM to 31 Mar 2025</t>
  </si>
  <si>
    <t xml:space="preserve">M-score, fiscal 2015 (10-K of 10 Sep 2015)</t>
  </si>
  <si>
    <t xml:space="preserve">Accruals / assets, TTM to 31 Mar 2024</t>
  </si>
  <si>
    <t xml:space="preserve">Validation: misstated years flagged, either score</t>
  </si>
  <si>
    <t xml:space="preserve">Validation: companies caught, either score</t>
  </si>
  <si>
    <t xml:space="preserve">Validation: misstated years flagged, both scores</t>
  </si>
  <si>
    <t xml:space="preserve">Universe: share flagged by either score</t>
  </si>
  <si>
    <t xml:space="preserve">Universe: percentile of Super Micro on M</t>
  </si>
  <si>
    <t xml:space="preserve">Beta of Super Micro to QQQ</t>
  </si>
  <si>
    <t xml:space="preserve">Abnormal return on 30 Oct 2024 (EY resigns)</t>
  </si>
  <si>
    <t xml:space="preserve">Share price change, 10-Q to the November low</t>
  </si>
  <si>
    <t xml:space="preserve">Python values are copied in as inputs (blue); every Excel value is a formula on this workbook's own inputs.</t>
  </si>
</sst>
</file>

<file path=xl/styles.xml><?xml version="1.0" encoding="utf-8"?>
<styleSheet xmlns="http://schemas.openxmlformats.org/spreadsheetml/2006/main">
  <numFmts count="13">
    <numFmt numFmtId="164" formatCode="General"/>
    <numFmt numFmtId="165" formatCode="d\ mmm\ yyyy"/>
    <numFmt numFmtId="166" formatCode="#,##0.00;\-#,##0.00"/>
    <numFmt numFmtId="167" formatCode="#,##0"/>
    <numFmt numFmtId="168" formatCode="0.000;\-0.000"/>
    <numFmt numFmtId="169" formatCode="0.00%"/>
    <numFmt numFmtId="170" formatCode="#,##0.0;\-#,##0.0"/>
    <numFmt numFmtId="171" formatCode="0.000000"/>
    <numFmt numFmtId="172" formatCode="0.0%"/>
    <numFmt numFmtId="173" formatCode="0.00\×;\-0.00\×"/>
    <numFmt numFmtId="174" formatCode="0"/>
    <numFmt numFmtId="175" formatCode="0.0\×"/>
    <numFmt numFmtId="176" formatCode="\$#,##0.00;&quot;-$&quot;#,##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rgb="FF66655E"/>
      <name val="Arial"/>
      <family val="0"/>
      <charset val="1"/>
    </font>
    <font>
      <b val="true"/>
      <sz val="10"/>
      <name val="Arial"/>
      <family val="0"/>
      <charset val="1"/>
    </font>
    <font>
      <sz val="10"/>
      <name val="Arial"/>
      <family val="0"/>
      <charset val="1"/>
    </font>
    <font>
      <b val="true"/>
      <sz val="10"/>
      <color rgb="FF0000FF"/>
      <name val="Arial"/>
      <family val="0"/>
      <charset val="1"/>
    </font>
    <font>
      <sz val="10"/>
      <color rgb="FF00800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FFF2CC"/>
        <bgColor rgb="FFECEBE5"/>
      </patternFill>
    </fill>
    <fill>
      <patternFill patternType="solid">
        <fgColor rgb="FF1A1A18"/>
        <bgColor rgb="FF003300"/>
      </patternFill>
    </fill>
    <fill>
      <patternFill patternType="solid">
        <fgColor rgb="FFECEBE5"/>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0" fillId="3" borderId="0" xfId="0" applyFont="true" applyBorder="false" applyAlignment="true" applyProtection="false">
      <alignment horizontal="right" vertical="center" textRotation="0" wrapText="tru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false" indent="0" shrinkToFit="false"/>
      <protection locked="true" hidden="false"/>
    </xf>
    <xf numFmtId="164" fontId="10" fillId="3" borderId="0" xfId="0" applyFont="true" applyBorder="false" applyAlignment="true" applyProtection="false">
      <alignment horizontal="right" vertical="center"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6" fontId="11"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6D5D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CEBE5"/>
      <rgbColor rgb="FFFFFF99"/>
      <rgbColor rgb="FF99CCFF"/>
      <rgbColor rgb="FFFF99CC"/>
      <rgbColor rgb="FFCC99FF"/>
      <rgbColor rgb="FFF6D5D1"/>
      <rgbColor rgb="FF3366FF"/>
      <rgbColor rgb="FF33CCCC"/>
      <rgbColor rgb="FF99CC00"/>
      <rgbColor rgb="FFFFCC00"/>
      <rgbColor rgb="FFFF9900"/>
      <rgbColor rgb="FFFF6600"/>
      <rgbColor rgb="FF66655E"/>
      <rgbColor rgb="FF969696"/>
      <rgbColor rgb="FF003366"/>
      <rgbColor rgb="FF339966"/>
      <rgbColor rgb="FF003300"/>
      <rgbColor rgb="FF1A1A18"/>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26"/>
    <col collapsed="false" customWidth="true" hidden="false" outlineLevel="0" max="3" min="3" style="0" width="110"/>
  </cols>
  <sheetData>
    <row r="2" customFormat="false" ht="17.35" hidden="false" customHeight="false" outlineLevel="0" collapsed="false">
      <c r="B2" s="1" t="s">
        <v>0</v>
      </c>
    </row>
    <row r="3" customFormat="false" ht="15" hidden="false" customHeight="false" outlineLevel="0" collapsed="false">
      <c r="B3" s="2" t="s">
        <v>1</v>
      </c>
    </row>
    <row r="6" customFormat="false" ht="30" hidden="false" customHeight="true" outlineLevel="0" collapsed="false">
      <c r="B6" s="3" t="s">
        <v>2</v>
      </c>
      <c r="C6" s="4" t="s">
        <v>3</v>
      </c>
    </row>
    <row r="7" customFormat="false" ht="30" hidden="false" customHeight="true" outlineLevel="0" collapsed="false">
      <c r="B7" s="3" t="s">
        <v>4</v>
      </c>
      <c r="C7" s="4" t="s">
        <v>5</v>
      </c>
    </row>
    <row r="8" customFormat="false" ht="30" hidden="false" customHeight="true" outlineLevel="0" collapsed="false">
      <c r="B8" s="3" t="s">
        <v>6</v>
      </c>
      <c r="C8" s="4" t="s">
        <v>7</v>
      </c>
    </row>
    <row r="9" customFormat="false" ht="30" hidden="false" customHeight="true" outlineLevel="0" collapsed="false">
      <c r="B9" s="3" t="s">
        <v>8</v>
      </c>
      <c r="C9" s="4" t="s">
        <v>9</v>
      </c>
    </row>
    <row r="10" customFormat="false" ht="30" hidden="false" customHeight="true" outlineLevel="0" collapsed="false">
      <c r="B10" s="3" t="s">
        <v>10</v>
      </c>
      <c r="C10" s="4" t="s">
        <v>11</v>
      </c>
    </row>
    <row r="11" customFormat="false" ht="30" hidden="false" customHeight="true" outlineLevel="0" collapsed="false">
      <c r="B11" s="3" t="s">
        <v>12</v>
      </c>
      <c r="C11" s="4" t="s">
        <v>13</v>
      </c>
    </row>
    <row r="12" customFormat="false" ht="30" hidden="false" customHeight="true" outlineLevel="0" collapsed="false">
      <c r="B12" s="3" t="s">
        <v>14</v>
      </c>
      <c r="C12" s="4" t="s">
        <v>15</v>
      </c>
    </row>
    <row r="13" customFormat="false" ht="30" hidden="false" customHeight="true" outlineLevel="0" collapsed="false">
      <c r="B13" s="3" t="s">
        <v>16</v>
      </c>
      <c r="C13" s="4" t="s">
        <v>17</v>
      </c>
    </row>
    <row r="14" customFormat="false" ht="30" hidden="false" customHeight="true" outlineLevel="0" collapsed="false">
      <c r="B14" s="3" t="s">
        <v>18</v>
      </c>
      <c r="C14" s="4" t="s">
        <v>19</v>
      </c>
    </row>
    <row r="15" customFormat="false" ht="30" hidden="false" customHeight="true" outlineLevel="0" collapsed="false">
      <c r="B15" s="3" t="s">
        <v>20</v>
      </c>
      <c r="C15" s="4" t="s">
        <v>21</v>
      </c>
    </row>
    <row r="16" customFormat="false" ht="30" hidden="false" customHeight="true" outlineLevel="0" collapsed="false">
      <c r="B16" s="3" t="s">
        <v>22</v>
      </c>
      <c r="C16" s="4" t="s">
        <v>23</v>
      </c>
    </row>
    <row r="17" customFormat="false" ht="30" hidden="false" customHeight="true" outlineLevel="0" collapsed="false">
      <c r="B17" s="3" t="s">
        <v>24</v>
      </c>
      <c r="C17" s="4"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44"/>
    <col collapsed="false" customWidth="true" hidden="false" outlineLevel="0" max="5" min="3" style="0" width="14"/>
    <col collapsed="false" customWidth="true" hidden="false" outlineLevel="0" max="6" min="6" style="0" width="60"/>
  </cols>
  <sheetData>
    <row r="2" customFormat="false" ht="17.35" hidden="false" customHeight="false" outlineLevel="0" collapsed="false">
      <c r="B2" s="1" t="s">
        <v>4</v>
      </c>
    </row>
    <row r="3" customFormat="false" ht="15" hidden="false" customHeight="false" outlineLevel="0" collapsed="false">
      <c r="B3" s="2" t="s">
        <v>26</v>
      </c>
    </row>
    <row r="5" customFormat="false" ht="15" hidden="false" customHeight="false" outlineLevel="0" collapsed="false">
      <c r="B5" s="5" t="s">
        <v>27</v>
      </c>
    </row>
    <row r="6" customFormat="false" ht="15" hidden="false" customHeight="false" outlineLevel="0" collapsed="false">
      <c r="B6" s="6" t="s">
        <v>28</v>
      </c>
      <c r="C6" s="7" t="n">
        <v>45382</v>
      </c>
      <c r="F6" s="2" t="s">
        <v>29</v>
      </c>
    </row>
    <row r="7" customFormat="false" ht="15" hidden="false" customHeight="false" outlineLevel="0" collapsed="false">
      <c r="B7" s="6" t="s">
        <v>30</v>
      </c>
      <c r="C7" s="8" t="n">
        <v>-1.78</v>
      </c>
      <c r="F7" s="2" t="s">
        <v>31</v>
      </c>
    </row>
    <row r="8" customFormat="false" ht="15" hidden="false" customHeight="false" outlineLevel="0" collapsed="false">
      <c r="B8" s="6" t="s">
        <v>32</v>
      </c>
      <c r="C8" s="8" t="n">
        <v>1.85</v>
      </c>
      <c r="F8" s="2" t="s">
        <v>33</v>
      </c>
    </row>
    <row r="9" customFormat="false" ht="15" hidden="false" customHeight="false" outlineLevel="0" collapsed="false">
      <c r="B9" s="6" t="s">
        <v>34</v>
      </c>
      <c r="C9" s="9" t="n">
        <f aca="false">MATCH(C6,Timeline!$B$6:$B$50,0)+5</f>
        <v>46</v>
      </c>
      <c r="F9" s="2" t="s">
        <v>35</v>
      </c>
    </row>
    <row r="10" customFormat="false" ht="15" hidden="false" customHeight="false" outlineLevel="0" collapsed="false">
      <c r="B10" s="6" t="s">
        <v>36</v>
      </c>
      <c r="C10" s="10" t="n">
        <f aca="false">INDEX(Timeline!C:C,C9)</f>
        <v>45418</v>
      </c>
    </row>
    <row r="12" customFormat="false" ht="15" hidden="false" customHeight="false" outlineLevel="0" collapsed="false">
      <c r="B12" s="11" t="s">
        <v>37</v>
      </c>
      <c r="C12" s="12" t="s">
        <v>38</v>
      </c>
      <c r="D12" s="12"/>
      <c r="E12" s="12"/>
      <c r="F12" s="12" t="s">
        <v>39</v>
      </c>
    </row>
    <row r="13" customFormat="false" ht="15" hidden="false" customHeight="false" outlineLevel="0" collapsed="false">
      <c r="B13" s="6" t="s">
        <v>40</v>
      </c>
      <c r="C13" s="13" t="n">
        <v>-4.84</v>
      </c>
      <c r="F13" s="2" t="s">
        <v>41</v>
      </c>
    </row>
    <row r="14" customFormat="false" ht="15" hidden="false" customHeight="false" outlineLevel="0" collapsed="false">
      <c r="B14" s="6" t="s">
        <v>42</v>
      </c>
      <c r="C14" s="13" t="n">
        <v>0.92</v>
      </c>
    </row>
    <row r="15" customFormat="false" ht="15" hidden="false" customHeight="false" outlineLevel="0" collapsed="false">
      <c r="B15" s="6" t="s">
        <v>43</v>
      </c>
      <c r="C15" s="13" t="n">
        <v>0.528</v>
      </c>
    </row>
    <row r="16" customFormat="false" ht="15" hidden="false" customHeight="false" outlineLevel="0" collapsed="false">
      <c r="B16" s="6" t="s">
        <v>44</v>
      </c>
      <c r="C16" s="13" t="n">
        <v>0.404</v>
      </c>
    </row>
    <row r="17" customFormat="false" ht="15" hidden="false" customHeight="false" outlineLevel="0" collapsed="false">
      <c r="B17" s="6" t="s">
        <v>45</v>
      </c>
      <c r="C17" s="13" t="n">
        <v>0.892</v>
      </c>
    </row>
    <row r="18" customFormat="false" ht="15" hidden="false" customHeight="false" outlineLevel="0" collapsed="false">
      <c r="B18" s="6" t="s">
        <v>46</v>
      </c>
      <c r="C18" s="13" t="n">
        <v>0.115</v>
      </c>
    </row>
    <row r="19" customFormat="false" ht="15" hidden="false" customHeight="false" outlineLevel="0" collapsed="false">
      <c r="B19" s="6" t="s">
        <v>47</v>
      </c>
      <c r="C19" s="13" t="n">
        <v>-0.172</v>
      </c>
    </row>
    <row r="20" customFormat="false" ht="15" hidden="false" customHeight="false" outlineLevel="0" collapsed="false">
      <c r="B20" s="6" t="s">
        <v>48</v>
      </c>
      <c r="C20" s="13" t="n">
        <v>4.679</v>
      </c>
    </row>
    <row r="21" customFormat="false" ht="15" hidden="false" customHeight="false" outlineLevel="0" collapsed="false">
      <c r="B21" s="6" t="s">
        <v>49</v>
      </c>
      <c r="C21" s="13" t="n">
        <v>-0.327</v>
      </c>
    </row>
    <row r="23" customFormat="false" ht="15" hidden="false" customHeight="false" outlineLevel="0" collapsed="false">
      <c r="B23" s="11" t="s">
        <v>50</v>
      </c>
      <c r="C23" s="12" t="s">
        <v>38</v>
      </c>
      <c r="D23" s="12"/>
      <c r="E23" s="12"/>
      <c r="F23" s="12" t="s">
        <v>39</v>
      </c>
    </row>
    <row r="24" customFormat="false" ht="15" hidden="false" customHeight="false" outlineLevel="0" collapsed="false">
      <c r="B24" s="6" t="s">
        <v>40</v>
      </c>
      <c r="C24" s="13" t="n">
        <v>-7.893</v>
      </c>
      <c r="F24" s="2" t="s">
        <v>51</v>
      </c>
    </row>
    <row r="25" customFormat="false" ht="15" hidden="false" customHeight="false" outlineLevel="0" collapsed="false">
      <c r="B25" s="6" t="s">
        <v>52</v>
      </c>
      <c r="C25" s="13" t="n">
        <v>0.79</v>
      </c>
    </row>
    <row r="26" customFormat="false" ht="15" hidden="false" customHeight="false" outlineLevel="0" collapsed="false">
      <c r="B26" s="6" t="s">
        <v>53</v>
      </c>
      <c r="C26" s="13" t="n">
        <v>2.518</v>
      </c>
    </row>
    <row r="27" customFormat="false" ht="15" hidden="false" customHeight="false" outlineLevel="0" collapsed="false">
      <c r="B27" s="6" t="s">
        <v>54</v>
      </c>
      <c r="C27" s="13" t="n">
        <v>1.191</v>
      </c>
    </row>
    <row r="28" customFormat="false" ht="15" hidden="false" customHeight="false" outlineLevel="0" collapsed="false">
      <c r="B28" s="6" t="s">
        <v>55</v>
      </c>
      <c r="C28" s="13" t="n">
        <v>1.979</v>
      </c>
    </row>
    <row r="29" customFormat="false" ht="15" hidden="false" customHeight="false" outlineLevel="0" collapsed="false">
      <c r="B29" s="6" t="s">
        <v>56</v>
      </c>
      <c r="C29" s="13" t="n">
        <v>0.171</v>
      </c>
    </row>
    <row r="30" customFormat="false" ht="15" hidden="false" customHeight="false" outlineLevel="0" collapsed="false">
      <c r="B30" s="6" t="s">
        <v>57</v>
      </c>
      <c r="C30" s="13" t="n">
        <v>-0.932</v>
      </c>
    </row>
    <row r="31" customFormat="false" ht="15" hidden="false" customHeight="false" outlineLevel="0" collapsed="false">
      <c r="B31" s="6" t="s">
        <v>58</v>
      </c>
      <c r="C31" s="13" t="n">
        <v>1.029</v>
      </c>
    </row>
    <row r="32" customFormat="false" ht="15" hidden="false" customHeight="false" outlineLevel="0" collapsed="false">
      <c r="B32" s="6" t="s">
        <v>59</v>
      </c>
      <c r="C32" s="14" t="n">
        <v>0.0037</v>
      </c>
    </row>
    <row r="34" customFormat="false" ht="23.85" hidden="false" customHeight="false" outlineLevel="0" collapsed="false">
      <c r="B34" s="11" t="s">
        <v>60</v>
      </c>
      <c r="C34" s="12" t="s">
        <v>61</v>
      </c>
      <c r="D34" s="12" t="s">
        <v>62</v>
      </c>
      <c r="E34" s="12" t="s">
        <v>63</v>
      </c>
      <c r="F34" s="12" t="s">
        <v>64</v>
      </c>
    </row>
    <row r="35" customFormat="false" ht="15" hidden="false" customHeight="false" outlineLevel="0" collapsed="false">
      <c r="B35" s="6" t="s">
        <v>65</v>
      </c>
      <c r="C35" s="15" t="n">
        <f aca="false">INDEX(Timeline!AD:AD,$C$9)</f>
        <v>11819.523</v>
      </c>
      <c r="D35" s="15" t="n">
        <f aca="false">INDEX(Timeline!AW:AW,$C$9)</f>
        <v>6574.081</v>
      </c>
      <c r="E35" s="15" t="n">
        <f aca="false">INDEX(Timeline!BQ:BQ,$C$9)</f>
        <v>4629.624</v>
      </c>
      <c r="F35" s="2" t="s">
        <v>66</v>
      </c>
    </row>
    <row r="36" customFormat="false" ht="15" hidden="false" customHeight="false" outlineLevel="0" collapsed="false">
      <c r="B36" s="6" t="s">
        <v>67</v>
      </c>
      <c r="C36" s="15" t="n">
        <f aca="false">INDEX(Timeline!AE:AE,$C$9)</f>
        <v>9932.446</v>
      </c>
      <c r="D36" s="15" t="n">
        <f aca="false">INDEX(Timeline!AX:AX,$C$9)</f>
        <v>5375.421</v>
      </c>
      <c r="E36" s="16"/>
    </row>
    <row r="37" customFormat="false" ht="15" hidden="false" customHeight="false" outlineLevel="0" collapsed="false">
      <c r="B37" s="6" t="s">
        <v>68</v>
      </c>
      <c r="C37" s="15" t="n">
        <f aca="false">INDEX(Timeline!AF:AF,$C$9)</f>
        <v>317.155</v>
      </c>
      <c r="D37" s="15" t="n">
        <f aca="false">INDEX(Timeline!AY:AY,$C$9)</f>
        <v>205.812</v>
      </c>
      <c r="E37" s="16"/>
    </row>
    <row r="38" customFormat="false" ht="15" hidden="false" customHeight="false" outlineLevel="0" collapsed="false">
      <c r="B38" s="6" t="s">
        <v>69</v>
      </c>
      <c r="C38" s="15" t="n">
        <f aca="false">INDEX(Timeline!AG:AG,$C$9)</f>
        <v>38.146</v>
      </c>
      <c r="D38" s="15" t="n">
        <f aca="false">INDEX(Timeline!AZ:AZ,$C$9)</f>
        <v>34.354</v>
      </c>
      <c r="E38" s="16"/>
    </row>
    <row r="39" customFormat="false" ht="15" hidden="false" customHeight="false" outlineLevel="0" collapsed="false">
      <c r="B39" s="6" t="s">
        <v>70</v>
      </c>
      <c r="C39" s="15" t="n">
        <f aca="false">INDEX(Timeline!AH:AH,$C$9)</f>
        <v>1048.991</v>
      </c>
      <c r="D39" s="15" t="n">
        <f aca="false">INDEX(Timeline!BA:BA,$C$9)</f>
        <v>587.251</v>
      </c>
      <c r="E39" s="15" t="n">
        <f aca="false">INDEX(Timeline!BS:BS,$C$9)</f>
        <v>183.503</v>
      </c>
    </row>
    <row r="40" customFormat="false" ht="15" hidden="false" customHeight="false" outlineLevel="0" collapsed="false">
      <c r="B40" s="6" t="s">
        <v>71</v>
      </c>
      <c r="C40" s="15" t="n">
        <f aca="false">INDEX(Timeline!AI:AI,$C$9)</f>
        <v>-1853.497</v>
      </c>
      <c r="D40" s="15" t="n">
        <f aca="false">INDEX(Timeline!BB:BB,$C$9)</f>
        <v>647.776</v>
      </c>
      <c r="E40" s="16"/>
    </row>
    <row r="41" customFormat="false" ht="15" hidden="false" customHeight="false" outlineLevel="0" collapsed="false">
      <c r="B41" s="6" t="s">
        <v>72</v>
      </c>
      <c r="C41" s="15" t="n">
        <f aca="false">INDEX(Timeline!AJ:AJ,$C$9)</f>
        <v>2748.384</v>
      </c>
      <c r="D41" s="15" t="n">
        <f aca="false">INDEX(Timeline!BC:BC,$C$9)</f>
        <v>379.568</v>
      </c>
      <c r="E41" s="16"/>
      <c r="F41" s="2" t="s">
        <v>73</v>
      </c>
    </row>
    <row r="42" customFormat="false" ht="15" hidden="false" customHeight="false" outlineLevel="0" collapsed="false">
      <c r="B42" s="6" t="s">
        <v>74</v>
      </c>
      <c r="C42" s="15" t="n">
        <f aca="false">INDEX(Timeline!AK:AK,$C$9)</f>
        <v>1650.153</v>
      </c>
      <c r="D42" s="15" t="n">
        <f aca="false">INDEX(Timeline!BD:BD,$C$9)</f>
        <v>672.055</v>
      </c>
      <c r="E42" s="15" t="n">
        <f aca="false">INDEX(Timeline!BP:BP,$C$9)</f>
        <v>679.785</v>
      </c>
    </row>
    <row r="43" customFormat="false" ht="15" hidden="false" customHeight="false" outlineLevel="0" collapsed="false">
      <c r="B43" s="6" t="s">
        <v>75</v>
      </c>
      <c r="C43" s="15" t="n">
        <f aca="false">INDEX(Timeline!AL:AL,$C$9)</f>
        <v>4124.587</v>
      </c>
      <c r="D43" s="15" t="n">
        <f aca="false">INDEX(Timeline!BE:BE,$C$9)</f>
        <v>1540.419</v>
      </c>
      <c r="E43" s="16"/>
    </row>
    <row r="44" customFormat="false" ht="15" hidden="false" customHeight="false" outlineLevel="0" collapsed="false">
      <c r="B44" s="6" t="s">
        <v>76</v>
      </c>
      <c r="C44" s="15" t="n">
        <f aca="false">INDEX(Timeline!AM:AM,$C$9)</f>
        <v>8063.932</v>
      </c>
      <c r="D44" s="15" t="n">
        <f aca="false">INDEX(Timeline!BF:BF,$C$9)</f>
        <v>2715.175</v>
      </c>
      <c r="E44" s="16"/>
    </row>
    <row r="45" customFormat="false" ht="15" hidden="false" customHeight="false" outlineLevel="0" collapsed="false">
      <c r="B45" s="6" t="s">
        <v>77</v>
      </c>
      <c r="C45" s="15" t="n">
        <f aca="false">INDEX(Timeline!AN:AN,$C$9)</f>
        <v>8862.781</v>
      </c>
      <c r="D45" s="15" t="n">
        <f aca="false">INDEX(Timeline!BG:BG,$C$9)</f>
        <v>3192.604</v>
      </c>
      <c r="E45" s="15" t="n">
        <f aca="false">INDEX(Timeline!BR:BR,$C$9)</f>
        <v>3071.177</v>
      </c>
    </row>
    <row r="46" customFormat="false" ht="15" hidden="false" customHeight="false" outlineLevel="0" collapsed="false">
      <c r="B46" s="6" t="s">
        <v>78</v>
      </c>
      <c r="C46" s="15" t="n">
        <f aca="false">INDEX(Timeline!AO:AO,$C$9)</f>
        <v>385.566</v>
      </c>
      <c r="D46" s="15" t="n">
        <f aca="false">INDEX(Timeline!BH:BH,$C$9)</f>
        <v>290.038</v>
      </c>
      <c r="E46" s="16"/>
    </row>
    <row r="47" customFormat="false" ht="15" hidden="false" customHeight="false" outlineLevel="0" collapsed="false">
      <c r="B47" s="6" t="s">
        <v>79</v>
      </c>
      <c r="C47" s="15" t="n">
        <f aca="false">INDEX(Timeline!AP:AP,$C$9)</f>
        <v>2115.476</v>
      </c>
      <c r="D47" s="15" t="n">
        <f aca="false">INDEX(Timeline!BI:BI,$C$9)</f>
        <v>362.801</v>
      </c>
      <c r="E47" s="16"/>
    </row>
    <row r="48" customFormat="false" ht="15" hidden="false" customHeight="false" outlineLevel="0" collapsed="false">
      <c r="B48" s="6" t="s">
        <v>80</v>
      </c>
      <c r="C48" s="15" t="str">
        <f aca="false">INDEX(Timeline!AQ:AQ,$C$9)</f>
        <v>n/a</v>
      </c>
      <c r="D48" s="15" t="str">
        <f aca="false">INDEX(Timeline!BJ:BJ,$C$9)</f>
        <v>n/a</v>
      </c>
      <c r="E48" s="16"/>
    </row>
    <row r="49" customFormat="false" ht="15" hidden="false" customHeight="false" outlineLevel="0" collapsed="false">
      <c r="B49" s="6" t="s">
        <v>81</v>
      </c>
      <c r="C49" s="15" t="str">
        <f aca="false">INDEX(Timeline!AR:AR,$C$9)</f>
        <v>n/a</v>
      </c>
      <c r="D49" s="15" t="n">
        <f aca="false">INDEX(Timeline!BK:BK,$C$9)</f>
        <v>1.59</v>
      </c>
      <c r="E49" s="16"/>
    </row>
    <row r="50" customFormat="false" ht="15" hidden="false" customHeight="false" outlineLevel="0" collapsed="false">
      <c r="B50" s="6" t="s">
        <v>82</v>
      </c>
      <c r="C50" s="15" t="n">
        <f aca="false">INDEX(Timeline!AS:AS,$C$9)</f>
        <v>1717.695</v>
      </c>
      <c r="D50" s="15" t="n">
        <f aca="false">INDEX(Timeline!BL:BL,$C$9)</f>
        <v>1092.38</v>
      </c>
      <c r="E50" s="16"/>
    </row>
    <row r="51" customFormat="false" ht="15" hidden="false" customHeight="false" outlineLevel="0" collapsed="false">
      <c r="B51" s="6" t="s">
        <v>83</v>
      </c>
      <c r="C51" s="15" t="n">
        <f aca="false">INDEX(Timeline!AT:AT,$C$9)</f>
        <v>3768.625</v>
      </c>
      <c r="D51" s="15" t="n">
        <f aca="false">INDEX(Timeline!BM:BM,$C$9)</f>
        <v>1424.031</v>
      </c>
      <c r="E51" s="16"/>
    </row>
    <row r="52" customFormat="false" ht="15" hidden="false" customHeight="false" outlineLevel="0" collapsed="false">
      <c r="B52" s="6" t="s">
        <v>84</v>
      </c>
      <c r="C52" s="15" t="n">
        <f aca="false">INDEX(Timeline!AU:AU,$C$9)</f>
        <v>85.646</v>
      </c>
      <c r="D52" s="15" t="n">
        <f aca="false">INDEX(Timeline!BN:BN,$C$9)</f>
        <v>133.235</v>
      </c>
      <c r="E52" s="16"/>
    </row>
    <row r="53" customFormat="false" ht="15" hidden="false" customHeight="false" outlineLevel="0" collapsed="false">
      <c r="B53" s="6" t="s">
        <v>85</v>
      </c>
      <c r="C53" s="15" t="str">
        <f aca="false">INDEX(Timeline!AV:AV,$C$9)</f>
        <v>n/a</v>
      </c>
      <c r="D53" s="15" t="str">
        <f aca="false">INDEX(Timeline!BO:BO,$C$9)</f>
        <v>n/a</v>
      </c>
      <c r="E53" s="16"/>
    </row>
  </sheetData>
  <dataValidations count="1">
    <dataValidation allowBlank="false" errorStyle="stop" operator="between" showDropDown="false" showErrorMessage="false" showInputMessage="false" sqref="C6" type="list">
      <formula1>Timeline!$B$6:$B$50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40"/>
    <col collapsed="false" customWidth="true" hidden="false" outlineLevel="0" max="6" min="3" style="0" width="13"/>
    <col collapsed="false" customWidth="true" hidden="false" outlineLevel="0" max="7" min="7" style="0" width="64"/>
  </cols>
  <sheetData>
    <row r="2" customFormat="false" ht="17.35" hidden="false" customHeight="false" outlineLevel="0" collapsed="false">
      <c r="B2" s="1" t="s">
        <v>86</v>
      </c>
    </row>
    <row r="3" customFormat="false" ht="15" hidden="false" customHeight="false" outlineLevel="0" collapsed="false">
      <c r="B3" s="2" t="s">
        <v>87</v>
      </c>
    </row>
    <row r="5" customFormat="false" ht="15" hidden="false" customHeight="false" outlineLevel="0" collapsed="false">
      <c r="B5" s="6" t="s">
        <v>88</v>
      </c>
      <c r="C5" s="10" t="n">
        <f aca="false">Inputs!C6</f>
        <v>45382</v>
      </c>
    </row>
    <row r="6" customFormat="false" ht="15" hidden="false" customHeight="false" outlineLevel="0" collapsed="false">
      <c r="B6" s="6" t="s">
        <v>36</v>
      </c>
      <c r="C6" s="10" t="n">
        <f aca="false">Inputs!C10</f>
        <v>45418</v>
      </c>
    </row>
    <row r="8" customFormat="false" ht="15" hidden="false" customHeight="false" outlineLevel="0" collapsed="false">
      <c r="B8" s="11" t="s">
        <v>89</v>
      </c>
      <c r="C8" s="12" t="s">
        <v>38</v>
      </c>
      <c r="D8" s="12" t="s">
        <v>90</v>
      </c>
      <c r="E8" s="12" t="s">
        <v>91</v>
      </c>
      <c r="F8" s="12" t="s">
        <v>92</v>
      </c>
      <c r="G8" s="12" t="s">
        <v>93</v>
      </c>
    </row>
    <row r="9" customFormat="false" ht="15" hidden="false" customHeight="false" outlineLevel="0" collapsed="false">
      <c r="B9" s="6" t="s">
        <v>42</v>
      </c>
      <c r="C9" s="17" t="n">
        <f aca="false">IFERROR((Inputs!$C$42/Inputs!$C$35)/(Inputs!$D$42/Inputs!$D$35),1)</f>
        <v>1.36569744662426</v>
      </c>
      <c r="D9" s="18" t="n">
        <f aca="false">Inputs!$C$14</f>
        <v>0.92</v>
      </c>
      <c r="E9" s="13" t="n">
        <v>1</v>
      </c>
      <c r="F9" s="17" t="n">
        <f aca="false">D9*(C9-E9)</f>
        <v>0.336441650894318</v>
      </c>
      <c r="G9" s="2" t="s">
        <v>94</v>
      </c>
    </row>
    <row r="10" customFormat="false" ht="15" hidden="false" customHeight="false" outlineLevel="0" collapsed="false">
      <c r="B10" s="6" t="s">
        <v>43</v>
      </c>
      <c r="C10" s="17" t="n">
        <f aca="false">IFERROR(((Inputs!$D$35-Inputs!$D$36)/Inputs!$D$35)/((Inputs!$C$35-Inputs!$C$36)/Inputs!$C$35),1)</f>
        <v>1.14201363932254</v>
      </c>
      <c r="D10" s="18" t="n">
        <f aca="false">Inputs!$C$15</f>
        <v>0.528</v>
      </c>
      <c r="E10" s="13" t="n">
        <v>1</v>
      </c>
      <c r="F10" s="17" t="n">
        <f aca="false">D10*(C10-E10)</f>
        <v>0.0749832015623011</v>
      </c>
      <c r="G10" s="2" t="s">
        <v>95</v>
      </c>
    </row>
    <row r="11" customFormat="false" ht="15" hidden="false" customHeight="false" outlineLevel="0" collapsed="false">
      <c r="B11" s="6" t="s">
        <v>44</v>
      </c>
      <c r="C11" s="17" t="n">
        <f aca="false">IFERROR((1-(Inputs!$C$44+Inputs!$C$46)/Inputs!$C$45)/(1-(Inputs!$D$44+Inputs!$D$46)/Inputs!$D$45),1)</f>
        <v>0.794463314849555</v>
      </c>
      <c r="D11" s="18" t="n">
        <f aca="false">Inputs!$C$16</f>
        <v>0.404</v>
      </c>
      <c r="E11" s="13" t="n">
        <v>1</v>
      </c>
      <c r="F11" s="17" t="n">
        <f aca="false">D11*(C11-E11)</f>
        <v>-0.0830368208007799</v>
      </c>
      <c r="G11" s="2" t="s">
        <v>96</v>
      </c>
    </row>
    <row r="12" customFormat="false" ht="15" hidden="false" customHeight="false" outlineLevel="0" collapsed="false">
      <c r="B12" s="6" t="s">
        <v>45</v>
      </c>
      <c r="C12" s="17" t="n">
        <f aca="false">IFERROR(Inputs!$C$35/Inputs!$D$35,1)</f>
        <v>1.79789737911656</v>
      </c>
      <c r="D12" s="18" t="n">
        <f aca="false">Inputs!$C$17</f>
        <v>0.892</v>
      </c>
      <c r="E12" s="13" t="n">
        <v>1</v>
      </c>
      <c r="F12" s="17" t="n">
        <f aca="false">D12*(C12-E12)</f>
        <v>0.711724462171975</v>
      </c>
      <c r="G12" s="2" t="s">
        <v>97</v>
      </c>
    </row>
    <row r="13" customFormat="false" ht="15" hidden="false" customHeight="false" outlineLevel="0" collapsed="false">
      <c r="B13" s="6" t="s">
        <v>46</v>
      </c>
      <c r="C13" s="17" t="n">
        <f aca="false">IFERROR((Inputs!$D$38/(Inputs!$D$38+Inputs!$D$46))/(Inputs!$C$38/(Inputs!$C$38+Inputs!$C$46)),1)</f>
        <v>1.17632935659018</v>
      </c>
      <c r="D13" s="18" t="n">
        <f aca="false">Inputs!$C$18</f>
        <v>0.115</v>
      </c>
      <c r="E13" s="13" t="n">
        <v>1</v>
      </c>
      <c r="F13" s="17" t="n">
        <f aca="false">D13*(C13-E13)</f>
        <v>0.0202778760078712</v>
      </c>
      <c r="G13" s="2" t="s">
        <v>98</v>
      </c>
    </row>
    <row r="14" customFormat="false" ht="15" hidden="false" customHeight="false" outlineLevel="0" collapsed="false">
      <c r="B14" s="6" t="s">
        <v>47</v>
      </c>
      <c r="C14" s="17" t="n">
        <f aca="false">IFERROR((Inputs!$C$37/Inputs!$C$35)/(Inputs!$D$37/Inputs!$D$35),1)</f>
        <v>0.857108831864193</v>
      </c>
      <c r="D14" s="18" t="n">
        <f aca="false">Inputs!$C$19</f>
        <v>-0.172</v>
      </c>
      <c r="E14" s="13" t="n">
        <v>1</v>
      </c>
      <c r="F14" s="17" t="n">
        <f aca="false">D14*(C14-E14)</f>
        <v>0.0245772809193589</v>
      </c>
      <c r="G14" s="2" t="s">
        <v>99</v>
      </c>
    </row>
    <row r="15" customFormat="false" ht="15" hidden="false" customHeight="false" outlineLevel="0" collapsed="false">
      <c r="B15" s="6" t="s">
        <v>48</v>
      </c>
      <c r="C15" s="17" t="n">
        <f aca="false">IFERROR((Inputs!$C$39-Inputs!$C$40)/Inputs!$C$45,0)</f>
        <v>0.327491788412689</v>
      </c>
      <c r="D15" s="18" t="n">
        <f aca="false">Inputs!$C$20</f>
        <v>4.679</v>
      </c>
      <c r="E15" s="13" t="n">
        <v>0</v>
      </c>
      <c r="F15" s="17" t="n">
        <f aca="false">D15*(C15-E15)</f>
        <v>1.53233407798297</v>
      </c>
      <c r="G15" s="2" t="s">
        <v>100</v>
      </c>
    </row>
    <row r="16" customFormat="false" ht="15" hidden="false" customHeight="false" outlineLevel="0" collapsed="false">
      <c r="B16" s="6" t="s">
        <v>49</v>
      </c>
      <c r="C16" s="17" t="n">
        <f aca="false">IFERROR(((Inputs!$C$50+N(Inputs!$C$52))/Inputs!$C$45)/((Inputs!$D$50+N(Inputs!$D$52))/Inputs!$D$45),1)</f>
        <v>0.530028014383771</v>
      </c>
      <c r="D16" s="18" t="n">
        <f aca="false">Inputs!$C$21</f>
        <v>-0.327</v>
      </c>
      <c r="E16" s="13" t="n">
        <v>1</v>
      </c>
      <c r="F16" s="17" t="n">
        <f aca="false">D16*(C16-E16)</f>
        <v>0.153680839296507</v>
      </c>
      <c r="G16" s="2" t="s">
        <v>101</v>
      </c>
    </row>
    <row r="18" customFormat="false" ht="15" hidden="false" customHeight="false" outlineLevel="0" collapsed="false">
      <c r="B18" s="6" t="s">
        <v>102</v>
      </c>
      <c r="F18" s="17" t="n">
        <f aca="false">Inputs!$C$13+SUMPRODUCT(D9:D16,E9:E16)</f>
        <v>-2.48</v>
      </c>
    </row>
    <row r="19" customFormat="false" ht="15" hidden="false" customHeight="false" outlineLevel="0" collapsed="false">
      <c r="B19" s="5" t="s">
        <v>103</v>
      </c>
      <c r="F19" s="19" t="n">
        <f aca="false">Inputs!$C$13+SUMPRODUCT(D9:D16,C9:C16)</f>
        <v>0.290982568034524</v>
      </c>
    </row>
    <row r="20" customFormat="false" ht="15" hidden="false" customHeight="false" outlineLevel="0" collapsed="false">
      <c r="B20" s="6" t="s">
        <v>104</v>
      </c>
      <c r="F20" s="20" t="n">
        <f aca="false">F18+SUM(F9:F16)-F19</f>
        <v>0</v>
      </c>
    </row>
    <row r="21" customFormat="false" ht="15" hidden="false" customHeight="false" outlineLevel="0" collapsed="false">
      <c r="B21" s="6" t="s">
        <v>105</v>
      </c>
      <c r="F21" s="21" t="str">
        <f aca="false">IF(F19&gt;Inputs!C7,"RED FLAG","below threshold")</f>
        <v>RED FLAG</v>
      </c>
    </row>
    <row r="22" customFormat="false" ht="15" hidden="false" customHeight="false" outlineLevel="0" collapsed="false">
      <c r="B22" s="6" t="s">
        <v>106</v>
      </c>
      <c r="F22" s="22" t="n">
        <f aca="false">INDEX(Timeline!E:E,Inputs!C9)</f>
        <v>0.290982568034524</v>
      </c>
    </row>
    <row r="24" customFormat="false" ht="15" hidden="false" customHeight="false" outlineLevel="0" collapsed="false">
      <c r="B24" s="2" t="s">
        <v>107</v>
      </c>
    </row>
  </sheetData>
  <conditionalFormatting sqref="F21">
    <cfRule type="cellIs" priority="2" operator="equal" aboveAverage="0" equalAverage="0" bottom="0" percent="0" rank="0" text="" dxfId="0">
      <formula>"RED FLAG"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40"/>
    <col collapsed="false" customWidth="true" hidden="false" outlineLevel="0" max="5" min="3" style="0" width="13"/>
    <col collapsed="false" customWidth="true" hidden="false" outlineLevel="0" max="6" min="6" style="0" width="70"/>
  </cols>
  <sheetData>
    <row r="2" customFormat="false" ht="17.35" hidden="false" customHeight="false" outlineLevel="0" collapsed="false">
      <c r="B2" s="1" t="s">
        <v>108</v>
      </c>
    </row>
    <row r="3" customFormat="false" ht="15" hidden="false" customHeight="false" outlineLevel="0" collapsed="false">
      <c r="B3" s="2" t="s">
        <v>109</v>
      </c>
    </row>
    <row r="5" customFormat="false" ht="15" hidden="false" customHeight="false" outlineLevel="0" collapsed="false">
      <c r="B5" s="6" t="s">
        <v>88</v>
      </c>
      <c r="C5" s="10" t="n">
        <f aca="false">Inputs!C6</f>
        <v>45382</v>
      </c>
    </row>
    <row r="7" customFormat="false" ht="15" hidden="false" customHeight="false" outlineLevel="0" collapsed="false">
      <c r="B7" s="11" t="s">
        <v>110</v>
      </c>
      <c r="C7" s="12" t="s">
        <v>38</v>
      </c>
      <c r="D7" s="12" t="s">
        <v>90</v>
      </c>
      <c r="E7" s="12" t="s">
        <v>92</v>
      </c>
      <c r="F7" s="12" t="s">
        <v>111</v>
      </c>
    </row>
    <row r="8" customFormat="false" ht="15" hidden="false" customHeight="false" outlineLevel="0" collapsed="false">
      <c r="B8" s="6" t="s">
        <v>52</v>
      </c>
      <c r="C8" s="17" t="n">
        <f aca="false">IFERROR((((Inputs!$C$44-Inputs!$C$47-N(Inputs!$C$48))-(Inputs!$C$50-N(Inputs!$C$53))+(Inputs!$C$45-Inputs!$C$44-N(Inputs!$C$49))-(Inputs!$C$51-Inputs!$C$50-N(Inputs!$C$52))+(N(Inputs!$C$48)+N(Inputs!$C$49))-(N(Inputs!$C$52)+N(Inputs!$C$53)))-((Inputs!$D$44-Inputs!$D$47-N(Inputs!$D$48))-(Inputs!$D$50-N(Inputs!$D$53))+(Inputs!$D$45-Inputs!$D$44-N(Inputs!$D$49))-(Inputs!$D$51-Inputs!$D$50-N(Inputs!$D$52))+(N(Inputs!$D$48)+N(Inputs!$D$49))-(N(Inputs!$D$52)+N(Inputs!$D$53))))/((Inputs!$C$45+Inputs!$D$45)/2),0)</f>
        <v>0.26094695441083</v>
      </c>
      <c r="D8" s="18" t="n">
        <f aca="false">Inputs!$C$25</f>
        <v>0.79</v>
      </c>
      <c r="E8" s="17" t="n">
        <f aca="false">C8*D8</f>
        <v>0.206148093984556</v>
      </c>
      <c r="F8" s="2" t="s">
        <v>112</v>
      </c>
    </row>
    <row r="9" customFormat="false" ht="15" hidden="false" customHeight="false" outlineLevel="0" collapsed="false">
      <c r="B9" s="6" t="s">
        <v>53</v>
      </c>
      <c r="C9" s="17" t="n">
        <f aca="false">IFERROR((Inputs!$C$42-Inputs!$D$42)/((Inputs!$C$45+Inputs!$D$45)/2),0)</f>
        <v>0.16226740166324</v>
      </c>
      <c r="D9" s="18" t="n">
        <f aca="false">Inputs!$C$26</f>
        <v>2.518</v>
      </c>
      <c r="E9" s="17" t="n">
        <f aca="false">C9*D9</f>
        <v>0.408589317388039</v>
      </c>
      <c r="F9" s="2" t="s">
        <v>113</v>
      </c>
    </row>
    <row r="10" customFormat="false" ht="15" hidden="false" customHeight="false" outlineLevel="0" collapsed="false">
      <c r="B10" s="6" t="s">
        <v>54</v>
      </c>
      <c r="C10" s="17" t="n">
        <f aca="false">IFERROR((N(Inputs!$C$43)-N(Inputs!$D$43))/((Inputs!$C$45+Inputs!$D$45)/2),0)</f>
        <v>0.428715963861793</v>
      </c>
      <c r="D10" s="18" t="n">
        <f aca="false">Inputs!$C$27</f>
        <v>1.191</v>
      </c>
      <c r="E10" s="17" t="n">
        <f aca="false">C10*D10</f>
        <v>0.510600712959396</v>
      </c>
      <c r="F10" s="2" t="s">
        <v>114</v>
      </c>
    </row>
    <row r="11" customFormat="false" ht="15" hidden="false" customHeight="false" outlineLevel="0" collapsed="false">
      <c r="B11" s="6" t="s">
        <v>55</v>
      </c>
      <c r="C11" s="17" t="n">
        <f aca="false">IFERROR((Inputs!$C$45-N(Inputs!$C$46)-Inputs!$C$47)/Inputs!$C$45,0)</f>
        <v>0.71780392632967</v>
      </c>
      <c r="D11" s="18" t="n">
        <f aca="false">Inputs!$C$28</f>
        <v>1.979</v>
      </c>
      <c r="E11" s="17" t="n">
        <f aca="false">C11*D11</f>
        <v>1.42053397020642</v>
      </c>
      <c r="F11" s="2" t="s">
        <v>115</v>
      </c>
    </row>
    <row r="12" customFormat="false" ht="15" hidden="false" customHeight="false" outlineLevel="0" collapsed="false">
      <c r="B12" s="6" t="s">
        <v>56</v>
      </c>
      <c r="C12" s="17" t="n">
        <f aca="false">IF(COUNT(Inputs!$E$42,Inputs!$E$35,Inputs!$E$45,Inputs!$E$39)=4,IFERROR((Inputs!$C$35-(Inputs!$C$42-Inputs!$D$42))/(Inputs!$D$35-(Inputs!$D$42-Inputs!$E$42))-1,0),0)</f>
        <v>0.647179628828601</v>
      </c>
      <c r="D12" s="18" t="n">
        <f aca="false">Inputs!$C$29</f>
        <v>0.171</v>
      </c>
      <c r="E12" s="17" t="n">
        <f aca="false">C12*D12</f>
        <v>0.110667716529691</v>
      </c>
      <c r="F12" s="2" t="s">
        <v>116</v>
      </c>
    </row>
    <row r="13" customFormat="false" ht="15" hidden="false" customHeight="false" outlineLevel="0" collapsed="false">
      <c r="B13" s="6" t="s">
        <v>57</v>
      </c>
      <c r="C13" s="17" t="n">
        <f aca="false">IF(COUNT(Inputs!$E$42,Inputs!$E$35,Inputs!$E$45,Inputs!$E$39)=4,IFERROR(Inputs!$C$39/((Inputs!$C$45+Inputs!$D$45)/2)-Inputs!$D$39/((Inputs!$D$45+Inputs!$E$45)/2),0),0)</f>
        <v>-0.0134782560953535</v>
      </c>
      <c r="D13" s="18" t="n">
        <f aca="false">Inputs!$C$30</f>
        <v>-0.932</v>
      </c>
      <c r="E13" s="17" t="n">
        <f aca="false">C13*D13</f>
        <v>0.0125617346808695</v>
      </c>
      <c r="F13" s="2" t="s">
        <v>117</v>
      </c>
    </row>
    <row r="14" customFormat="false" ht="15" hidden="false" customHeight="false" outlineLevel="0" collapsed="false">
      <c r="B14" s="6" t="s">
        <v>58</v>
      </c>
      <c r="C14" s="9" t="n">
        <f aca="false">IF(N(Inputs!$C$41)&gt;0,1,0)</f>
        <v>1</v>
      </c>
      <c r="D14" s="18" t="n">
        <f aca="false">Inputs!$C$31</f>
        <v>1.029</v>
      </c>
      <c r="E14" s="17" t="n">
        <f aca="false">C14*D14</f>
        <v>1.029</v>
      </c>
      <c r="F14" s="2" t="s">
        <v>118</v>
      </c>
    </row>
    <row r="16" customFormat="false" ht="15" hidden="false" customHeight="false" outlineLevel="0" collapsed="false">
      <c r="B16" s="6" t="s">
        <v>40</v>
      </c>
      <c r="E16" s="18" t="n">
        <f aca="false">Inputs!$C$24</f>
        <v>-7.893</v>
      </c>
    </row>
    <row r="17" customFormat="false" ht="15" hidden="false" customHeight="false" outlineLevel="0" collapsed="false">
      <c r="B17" s="6" t="s">
        <v>119</v>
      </c>
      <c r="E17" s="17" t="n">
        <f aca="false">SUM(E8:E14)+E16</f>
        <v>-4.19489845425103</v>
      </c>
    </row>
    <row r="18" customFormat="false" ht="15" hidden="false" customHeight="false" outlineLevel="0" collapsed="false">
      <c r="B18" s="6" t="s">
        <v>120</v>
      </c>
      <c r="E18" s="23" t="n">
        <f aca="false">EXP(E17)/(1+EXP(E17))</f>
        <v>0.0148484726771428</v>
      </c>
    </row>
    <row r="19" customFormat="false" ht="15" hidden="false" customHeight="false" outlineLevel="0" collapsed="false">
      <c r="B19" s="5" t="s">
        <v>121</v>
      </c>
      <c r="E19" s="19" t="n">
        <f aca="false">E18/Inputs!$C$32</f>
        <v>4.01310072355211</v>
      </c>
    </row>
    <row r="20" customFormat="false" ht="15" hidden="false" customHeight="false" outlineLevel="0" collapsed="false">
      <c r="B20" s="6" t="s">
        <v>122</v>
      </c>
      <c r="E20" s="21" t="str">
        <f aca="false">IF(E19&gt;2.45,"high",IF(E19&gt;1.85,"substantial",IF(E19&gt;1,"above normal","normal")))</f>
        <v>high</v>
      </c>
    </row>
    <row r="21" customFormat="false" ht="15" hidden="false" customHeight="false" outlineLevel="0" collapsed="false">
      <c r="B21" s="6" t="s">
        <v>106</v>
      </c>
      <c r="E21" s="22" t="n">
        <f aca="false">INDEX(Timeline!F:F,Inputs!C9)</f>
        <v>4.01310072355212</v>
      </c>
    </row>
    <row r="23" customFormat="false" ht="15" hidden="false" customHeight="false" outlineLevel="0" collapsed="false">
      <c r="B23" s="2" t="s">
        <v>123</v>
      </c>
    </row>
  </sheetData>
  <conditionalFormatting sqref="E20">
    <cfRule type="cellIs" priority="2" operator="equal" aboveAverage="0" equalAverage="0" bottom="0" percent="0" rank="0" text="" dxfId="0">
      <formula>"high"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S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3" min="2" style="0" width="12"/>
    <col collapsed="false" customWidth="true" hidden="false" outlineLevel="0" max="28" min="4" style="0" width="11.5"/>
    <col collapsed="false" customWidth="true" hidden="false" outlineLevel="0" max="29" min="29" style="0" width="3"/>
    <col collapsed="false" customWidth="true" hidden="false" outlineLevel="0" max="71" min="30" style="0" width="11.5"/>
  </cols>
  <sheetData>
    <row r="2" customFormat="false" ht="17.35" hidden="false" customHeight="false" outlineLevel="0" collapsed="false">
      <c r="B2" s="1" t="s">
        <v>10</v>
      </c>
    </row>
    <row r="3" customFormat="false" ht="15" hidden="false" customHeight="false" outlineLevel="0" collapsed="false">
      <c r="B3" s="2" t="s">
        <v>124</v>
      </c>
    </row>
    <row r="5" customFormat="false" ht="54" hidden="false" customHeight="true" outlineLevel="0" collapsed="false">
      <c r="B5" s="11" t="s">
        <v>88</v>
      </c>
      <c r="C5" s="12" t="s">
        <v>36</v>
      </c>
      <c r="D5" s="12" t="s">
        <v>125</v>
      </c>
      <c r="E5" s="12" t="s">
        <v>103</v>
      </c>
      <c r="F5" s="12" t="s">
        <v>126</v>
      </c>
      <c r="G5" s="12" t="s">
        <v>127</v>
      </c>
      <c r="H5" s="12" t="s">
        <v>128</v>
      </c>
      <c r="I5" s="12" t="s">
        <v>129</v>
      </c>
      <c r="J5" s="12" t="s">
        <v>130</v>
      </c>
      <c r="K5" s="12" t="s">
        <v>131</v>
      </c>
      <c r="L5" s="12" t="s">
        <v>132</v>
      </c>
      <c r="M5" s="12" t="s">
        <v>133</v>
      </c>
      <c r="N5" s="12" t="s">
        <v>134</v>
      </c>
      <c r="O5" s="12" t="s">
        <v>135</v>
      </c>
      <c r="P5" s="12" t="s">
        <v>136</v>
      </c>
      <c r="Q5" s="12" t="s">
        <v>137</v>
      </c>
      <c r="R5" s="12" t="s">
        <v>138</v>
      </c>
      <c r="S5" s="12" t="s">
        <v>139</v>
      </c>
      <c r="T5" s="12" t="s">
        <v>140</v>
      </c>
      <c r="U5" s="12" t="s">
        <v>52</v>
      </c>
      <c r="V5" s="12" t="s">
        <v>53</v>
      </c>
      <c r="W5" s="12" t="s">
        <v>54</v>
      </c>
      <c r="X5" s="12" t="s">
        <v>55</v>
      </c>
      <c r="Y5" s="12" t="s">
        <v>56</v>
      </c>
      <c r="Z5" s="12" t="s">
        <v>57</v>
      </c>
      <c r="AA5" s="12" t="s">
        <v>58</v>
      </c>
      <c r="AB5" s="12" t="s">
        <v>141</v>
      </c>
      <c r="AC5" s="12"/>
      <c r="AD5" s="12" t="s">
        <v>142</v>
      </c>
      <c r="AE5" s="12" t="s">
        <v>143</v>
      </c>
      <c r="AF5" s="12" t="s">
        <v>144</v>
      </c>
      <c r="AG5" s="12" t="s">
        <v>145</v>
      </c>
      <c r="AH5" s="12" t="s">
        <v>146</v>
      </c>
      <c r="AI5" s="12" t="s">
        <v>147</v>
      </c>
      <c r="AJ5" s="12" t="s">
        <v>148</v>
      </c>
      <c r="AK5" s="12" t="s">
        <v>149</v>
      </c>
      <c r="AL5" s="12" t="s">
        <v>150</v>
      </c>
      <c r="AM5" s="12" t="s">
        <v>151</v>
      </c>
      <c r="AN5" s="12" t="s">
        <v>152</v>
      </c>
      <c r="AO5" s="12" t="s">
        <v>153</v>
      </c>
      <c r="AP5" s="12" t="s">
        <v>154</v>
      </c>
      <c r="AQ5" s="12" t="s">
        <v>155</v>
      </c>
      <c r="AR5" s="12" t="s">
        <v>156</v>
      </c>
      <c r="AS5" s="12" t="s">
        <v>157</v>
      </c>
      <c r="AT5" s="12" t="s">
        <v>158</v>
      </c>
      <c r="AU5" s="12" t="s">
        <v>159</v>
      </c>
      <c r="AV5" s="12" t="s">
        <v>160</v>
      </c>
      <c r="AW5" s="12" t="s">
        <v>161</v>
      </c>
      <c r="AX5" s="12" t="s">
        <v>162</v>
      </c>
      <c r="AY5" s="12" t="s">
        <v>163</v>
      </c>
      <c r="AZ5" s="12" t="s">
        <v>164</v>
      </c>
      <c r="BA5" s="12" t="s">
        <v>165</v>
      </c>
      <c r="BB5" s="12" t="s">
        <v>166</v>
      </c>
      <c r="BC5" s="12" t="s">
        <v>167</v>
      </c>
      <c r="BD5" s="12" t="s">
        <v>168</v>
      </c>
      <c r="BE5" s="12" t="s">
        <v>169</v>
      </c>
      <c r="BF5" s="12" t="s">
        <v>170</v>
      </c>
      <c r="BG5" s="12" t="s">
        <v>171</v>
      </c>
      <c r="BH5" s="12" t="s">
        <v>172</v>
      </c>
      <c r="BI5" s="12" t="s">
        <v>173</v>
      </c>
      <c r="BJ5" s="12" t="s">
        <v>174</v>
      </c>
      <c r="BK5" s="12" t="s">
        <v>175</v>
      </c>
      <c r="BL5" s="12" t="s">
        <v>176</v>
      </c>
      <c r="BM5" s="12" t="s">
        <v>177</v>
      </c>
      <c r="BN5" s="12" t="s">
        <v>178</v>
      </c>
      <c r="BO5" s="12" t="s">
        <v>179</v>
      </c>
      <c r="BP5" s="12" t="s">
        <v>180</v>
      </c>
      <c r="BQ5" s="12" t="s">
        <v>181</v>
      </c>
      <c r="BR5" s="12" t="s">
        <v>182</v>
      </c>
      <c r="BS5" s="12" t="s">
        <v>183</v>
      </c>
    </row>
    <row r="6" customFormat="false" ht="15" hidden="false" customHeight="false" outlineLevel="0" collapsed="false">
      <c r="B6" s="24" t="n">
        <v>41455</v>
      </c>
      <c r="C6" s="24" t="n">
        <v>41528</v>
      </c>
      <c r="D6" s="25" t="s">
        <v>184</v>
      </c>
      <c r="E6" s="26" t="n">
        <f aca="false">Inputs!$C$13+Inputs!$C$14*M6+Inputs!$C$15*N6+Inputs!$C$16*O6+Inputs!$C$17*P6+Inputs!$C$18*Q6+Inputs!$C$19*R6+Inputs!$C$20*S6+Inputs!$C$21*T6</f>
        <v>-1.82227563504519</v>
      </c>
      <c r="F6" s="26" t="n">
        <f aca="false">EXP(AB6)/(1+EXP(AB6))/Inputs!$C$32</f>
        <v>0.50365118811815</v>
      </c>
      <c r="G6" s="27" t="n">
        <f aca="false">IFERROR((AH6-AI6)/((AN6+BG6)/2),"n/a")</f>
        <v>0.0126023449269667</v>
      </c>
      <c r="H6" s="28" t="n">
        <f aca="false">IFERROR(AI6/AH6,"n/a")</f>
        <v>0.638328868837821</v>
      </c>
      <c r="I6" s="29" t="n">
        <f aca="false">IFERROR(AK6/AD6*365,"n/a")</f>
        <v>46.8870880753784</v>
      </c>
      <c r="J6" s="29" t="n">
        <f aca="false">IFERROR(N(AL6)/AE6*365,"n/a")</f>
        <v>92.5399597808696</v>
      </c>
      <c r="K6" s="9" t="n">
        <f aca="false">IF(E6&gt;Inputs!$C$7,1,0)</f>
        <v>0</v>
      </c>
      <c r="L6" s="9" t="n">
        <f aca="false">IF(F6&gt;Inputs!$C$8,1,0)</f>
        <v>0</v>
      </c>
      <c r="M6" s="17" t="n">
        <f aca="false">IFERROR((AK6/AD6)/(BD6/AW6),1)</f>
        <v>1.27668750099936</v>
      </c>
      <c r="N6" s="17" t="n">
        <f aca="false">IFERROR(((AW6-AX6)/AW6)/((AD6-AE6)/AD6),1)</f>
        <v>1.18508113570188</v>
      </c>
      <c r="O6" s="17" t="n">
        <f aca="false">IFERROR((1-(AM6+AO6)/AN6)/(1-(BF6+BH6)/BG6),1)</f>
        <v>1.25411958444612</v>
      </c>
      <c r="P6" s="17" t="n">
        <f aca="false">IFERROR(AD6/AW6,1)</f>
        <v>1.14665234536047</v>
      </c>
      <c r="Q6" s="17" t="n">
        <f aca="false">IFERROR((AZ6/(AZ6+BH6))/(AG6/(AG6+AO6)),1)</f>
        <v>0.89607147928465</v>
      </c>
      <c r="R6" s="17" t="n">
        <f aca="false">IFERROR((AF6/AD6)/(AY6/AW6),1)</f>
        <v>0.911726324177411</v>
      </c>
      <c r="S6" s="17" t="n">
        <f aca="false">IFERROR((AH6-AI6)/AN6,0)</f>
        <v>0.0121722653920795</v>
      </c>
      <c r="T6" s="17" t="n">
        <f aca="false">IFERROR(((AS6+N(AU6))/AN6)/((BL6+N(BN6))/BG6),1)</f>
        <v>0.963958721473152</v>
      </c>
      <c r="U6" s="17" t="n">
        <f aca="false">IFERROR((((AM6-AP6-N(AQ6))-(AS6-N(AV6))+(AN6-AM6-N(AR6))-(AT6-AS6-N(AU6))+(N(AQ6)+N(AR6))-(N(AU6)+N(AV6)))-((BF6-BI6-N(BJ6))-(BL6-N(BO6))+(BG6-BF6-N(BK6))-(BM6-BL6-N(BN6))+(N(BJ6)+N(BK6))-(N(BN6)+N(BO6))))/((AN6+BG6)/2),0)</f>
        <v>0.037926573655597</v>
      </c>
      <c r="V6" s="17" t="n">
        <f aca="false">IFERROR((AK6-BD6)/((AN6+BG6)/2),0)</f>
        <v>0.0774972162179865</v>
      </c>
      <c r="W6" s="17" t="n">
        <f aca="false">IFERROR((N(AL6)-N(BE6))/((AN6+BG6)/2),0)</f>
        <v>-0.0367279098709635</v>
      </c>
      <c r="X6" s="17" t="n">
        <f aca="false">IFERROR((AN6-N(AO6)-AP6)/AN6,0)</f>
        <v>0.701150007038277</v>
      </c>
      <c r="Y6" s="17" t="n">
        <f aca="false">IF(COUNT(BP6,BQ6,BR6,BS6)=4,IFERROR((AD6-(AK6-BD6))/(AW6-(BD6-BP6))-1,0),0)</f>
        <v>0.118742256975618</v>
      </c>
      <c r="Z6" s="17" t="n">
        <f aca="false">IF(COUNT(BP6,BQ6,BR6,BS6)=4,IFERROR(AH6/((AN6+BG6)/2)-BA6/((BG6+BR6)/2),0),0)</f>
        <v>-0.0218171868423063</v>
      </c>
      <c r="AA6" s="9" t="n">
        <f aca="false">IF(N(AJ6)&gt;0,1,0)</f>
        <v>0</v>
      </c>
      <c r="AB6" s="17" t="n">
        <f aca="false">Inputs!$C$24+Inputs!$C$25*U6+Inputs!$C$26*V6+Inputs!$C$27*W6+Inputs!$C$28*X6+Inputs!$C$29*Y6+Inputs!$C$30*Z6+Inputs!$C$31*AA6</f>
        <v>-6.28342854902289</v>
      </c>
      <c r="AD6" s="30" t="n">
        <v>1162.561</v>
      </c>
      <c r="AE6" s="30" t="n">
        <v>1002.508</v>
      </c>
      <c r="AF6" s="30" t="n">
        <v>57.687</v>
      </c>
      <c r="AG6" s="30" t="n">
        <v>7.835</v>
      </c>
      <c r="AH6" s="30" t="n">
        <v>21.279</v>
      </c>
      <c r="AI6" s="30" t="n">
        <v>13.583</v>
      </c>
      <c r="AJ6" s="30" t="s">
        <v>185</v>
      </c>
      <c r="AK6" s="30" t="n">
        <v>149.34</v>
      </c>
      <c r="AL6" s="30" t="n">
        <v>254.17</v>
      </c>
      <c r="AM6" s="30" t="n">
        <v>523.192</v>
      </c>
      <c r="AN6" s="30" t="n">
        <v>632.257</v>
      </c>
      <c r="AO6" s="30" t="n">
        <v>95.912</v>
      </c>
      <c r="AP6" s="30" t="n">
        <v>93.038</v>
      </c>
      <c r="AQ6" s="30" t="s">
        <v>185</v>
      </c>
      <c r="AR6" s="30" t="n">
        <v>2.637</v>
      </c>
      <c r="AS6" s="30" t="n">
        <v>241.664</v>
      </c>
      <c r="AT6" s="30" t="n">
        <v>258.533</v>
      </c>
      <c r="AU6" s="30" t="n">
        <v>6.533</v>
      </c>
      <c r="AV6" s="30" t="n">
        <v>28.638</v>
      </c>
      <c r="AW6" s="30" t="n">
        <v>1013.874</v>
      </c>
      <c r="AX6" s="30" t="n">
        <v>848.457</v>
      </c>
      <c r="AY6" s="30" t="n">
        <v>55.18</v>
      </c>
      <c r="AZ6" s="30" t="n">
        <v>7.071</v>
      </c>
      <c r="BA6" s="30" t="n">
        <v>29.853</v>
      </c>
      <c r="BB6" s="30" t="n">
        <v>16.467</v>
      </c>
      <c r="BC6" s="30" t="s">
        <v>185</v>
      </c>
      <c r="BD6" s="30" t="n">
        <v>102.014</v>
      </c>
      <c r="BE6" s="30" t="n">
        <v>276.599</v>
      </c>
      <c r="BF6" s="30" t="n">
        <v>481.912</v>
      </c>
      <c r="BG6" s="30" t="n">
        <v>589.103</v>
      </c>
      <c r="BH6" s="30" t="n">
        <v>97.419</v>
      </c>
      <c r="BI6" s="30" t="n">
        <v>80.826</v>
      </c>
      <c r="BJ6" s="30" t="s">
        <v>185</v>
      </c>
      <c r="BK6" s="30" t="n">
        <v>2.923</v>
      </c>
      <c r="BL6" s="30" t="n">
        <v>220.508</v>
      </c>
      <c r="BM6" s="30" t="n">
        <v>250.752</v>
      </c>
      <c r="BN6" s="30" t="n">
        <v>19.395</v>
      </c>
      <c r="BO6" s="30" t="n">
        <v>13.362</v>
      </c>
      <c r="BP6" s="30" t="n">
        <v>85.005</v>
      </c>
      <c r="BQ6" s="30" t="n">
        <v>942.582</v>
      </c>
      <c r="BR6" s="30" t="n">
        <v>464.62</v>
      </c>
      <c r="BS6" s="30" t="n">
        <v>40.213</v>
      </c>
    </row>
    <row r="7" customFormat="false" ht="15" hidden="false" customHeight="false" outlineLevel="0" collapsed="false">
      <c r="B7" s="24" t="n">
        <v>41547</v>
      </c>
      <c r="C7" s="24" t="n">
        <v>41585</v>
      </c>
      <c r="D7" s="25" t="s">
        <v>184</v>
      </c>
      <c r="E7" s="26" t="n">
        <f aca="false">Inputs!$C$13+Inputs!$C$14*M7+Inputs!$C$15*N7+Inputs!$C$16*O7+Inputs!$C$17*P7+Inputs!$C$18*Q7+Inputs!$C$19*R7+Inputs!$C$20*S7+Inputs!$C$21*T7</f>
        <v>-2.40064998334418</v>
      </c>
      <c r="F7" s="26" t="n">
        <f aca="false">EXP(AB7)/(1+EXP(AB7))/Inputs!$C$32</f>
        <v>0.414301755070294</v>
      </c>
      <c r="G7" s="27" t="n">
        <f aca="false">IFERROR((AH7-AI7)/((AN7+BG7)/2),"n/a")</f>
        <v>-0.0505096711091002</v>
      </c>
      <c r="H7" s="28" t="n">
        <f aca="false">IFERROR(AI7/AH7,"n/a")</f>
        <v>2.08141315573916</v>
      </c>
      <c r="I7" s="29" t="n">
        <f aca="false">IFERROR(AK7/AD7*365,"n/a")</f>
        <v>40.7458259428581</v>
      </c>
      <c r="J7" s="29" t="n">
        <f aca="false">IFERROR(N(AL7)/AE7*365,"n/a")</f>
        <v>90.2036363989738</v>
      </c>
      <c r="K7" s="9" t="n">
        <f aca="false">IF(E7&gt;Inputs!$C$7,1,0)</f>
        <v>0</v>
      </c>
      <c r="L7" s="9" t="n">
        <f aca="false">IF(F7&gt;Inputs!$C$8,1,0)</f>
        <v>0</v>
      </c>
      <c r="M7" s="17" t="n">
        <f aca="false">IFERROR((AK7/AD7)/(BD7/AW7),1)</f>
        <v>1.02608334637948</v>
      </c>
      <c r="N7" s="17" t="n">
        <f aca="false">IFERROR(((AW7-AX7)/AW7)/((AD7-AE7)/AD7),1)</f>
        <v>1.08404630044039</v>
      </c>
      <c r="O7" s="17" t="n">
        <f aca="false">IFERROR((1-(AM7+AO7)/AN7)/(1-(BF7+BH7)/BG7),1)</f>
        <v>1.16046695470614</v>
      </c>
      <c r="P7" s="17" t="n">
        <f aca="false">IFERROR(AD7/AW7,1)</f>
        <v>1.15836272156929</v>
      </c>
      <c r="Q7" s="17" t="n">
        <f aca="false">IFERROR((AZ7/(AZ7+BH7))/(AG7/(AG7+AO7)),1)</f>
        <v>1.02434216014341</v>
      </c>
      <c r="R7" s="17" t="n">
        <f aca="false">IFERROR((AF7/AD7)/(AY7/AW7),1)</f>
        <v>0.849654402139949</v>
      </c>
      <c r="S7" s="17" t="n">
        <f aca="false">IFERROR((AH7-AI7)/AN7,0)</f>
        <v>-0.0477588042761942</v>
      </c>
      <c r="T7" s="17" t="n">
        <f aca="false">IFERROR(((AS7+N(AU7))/AN7)/((BL7+N(BN7))/BG7),1)</f>
        <v>1.00093777378295</v>
      </c>
      <c r="U7" s="17" t="n">
        <f aca="false">IFERROR((((AM7-AP7-N(AQ7))-(AS7-N(AV7))+(AN7-AM7-N(AR7))-(AT7-AS7-N(AU7))+(N(AQ7)+N(AR7))-(N(AU7)+N(AV7)))-((BF7-BI7-N(BJ7))-(BL7-N(BO7))+(BG7-BF7-N(BK7))-(BM7-BL7-N(BN7))+(N(BJ7)+N(BK7))-(N(BN7)+N(BO7))))/((AN7+BG7)/2),0)</f>
        <v>-0.0160453247988929</v>
      </c>
      <c r="V7" s="17" t="n">
        <f aca="false">IFERROR((AK7-BD7)/((AN7+BG7)/2),0)</f>
        <v>0.0353792259120518</v>
      </c>
      <c r="W7" s="17" t="n">
        <f aca="false">IFERROR((N(AL7)-N(BE7))/((AN7+BG7)/2),0)</f>
        <v>-0.0147079371627421</v>
      </c>
      <c r="X7" s="17" t="n">
        <f aca="false">IFERROR((AN7-N(AO7)-AP7)/AN7,0)</f>
        <v>0.672498698488044</v>
      </c>
      <c r="Y7" s="17" t="n">
        <f aca="false">IF(COUNT(BP7,BQ7,BR7,BS7)=4,IFERROR((AD7-(AK7-BD7))/(AW7-(BD7-BP7))-1,0),0)</f>
        <v>0.165937379845589</v>
      </c>
      <c r="Z7" s="17" t="n">
        <f aca="false">IF(COUNT(BP7,BQ7,BR7,BS7)=4,IFERROR(AH7/((AN7+BG7)/2)-BA7/((BG7+BR7)/2),0),0)</f>
        <v>0.0044970040267343</v>
      </c>
      <c r="AA7" s="9" t="n">
        <f aca="false">IF(N(AJ7)&gt;0,1,0)</f>
        <v>0</v>
      </c>
      <c r="AB7" s="17" t="n">
        <f aca="false">Inputs!$C$24+Inputs!$C$25*U7+Inputs!$C$26*V7+Inputs!$C$27*W7+Inputs!$C$28*X7+Inputs!$C$29*Y7+Inputs!$C$30*Z7+Inputs!$C$31*AA7</f>
        <v>-6.47904906039689</v>
      </c>
      <c r="AD7" s="30" t="n">
        <v>1200.87</v>
      </c>
      <c r="AE7" s="30" t="n">
        <v>1029.04</v>
      </c>
      <c r="AF7" s="30" t="n">
        <v>57.088</v>
      </c>
      <c r="AG7" s="30" t="n">
        <v>7.273</v>
      </c>
      <c r="AH7" s="30" t="n">
        <v>28.079</v>
      </c>
      <c r="AI7" s="30" t="n">
        <v>58.444</v>
      </c>
      <c r="AJ7" s="30" t="s">
        <v>185</v>
      </c>
      <c r="AK7" s="30" t="n">
        <v>134.056</v>
      </c>
      <c r="AL7" s="30" t="n">
        <v>254.31</v>
      </c>
      <c r="AM7" s="30" t="n">
        <v>524.222</v>
      </c>
      <c r="AN7" s="30" t="n">
        <v>635.799</v>
      </c>
      <c r="AO7" s="30" t="n">
        <v>96.767</v>
      </c>
      <c r="AP7" s="30" t="n">
        <v>111.458</v>
      </c>
      <c r="AQ7" s="30" t="s">
        <v>185</v>
      </c>
      <c r="AR7" s="30" t="n">
        <v>2.637</v>
      </c>
      <c r="AS7" s="30" t="n">
        <v>218.283</v>
      </c>
      <c r="AT7" s="30" t="n">
        <v>249.835</v>
      </c>
      <c r="AU7" s="30" t="n">
        <v>21.05</v>
      </c>
      <c r="AV7" s="30" t="n">
        <v>13.699</v>
      </c>
      <c r="AW7" s="30" t="n">
        <v>1036.696</v>
      </c>
      <c r="AX7" s="30" t="n">
        <v>875.89</v>
      </c>
      <c r="AY7" s="30" t="n">
        <v>58.004</v>
      </c>
      <c r="AZ7" s="30" t="n">
        <v>7.491</v>
      </c>
      <c r="BA7" s="30" t="n">
        <v>22.26</v>
      </c>
      <c r="BB7" s="30" t="n">
        <v>-35.224</v>
      </c>
      <c r="BC7" s="30" t="s">
        <v>185</v>
      </c>
      <c r="BD7" s="30" t="n">
        <v>112.787</v>
      </c>
      <c r="BE7" s="30" t="n">
        <v>263.152</v>
      </c>
      <c r="BF7" s="30" t="n">
        <v>458.052</v>
      </c>
      <c r="BG7" s="30" t="n">
        <v>566.545</v>
      </c>
      <c r="BH7" s="30" t="n">
        <v>97.121</v>
      </c>
      <c r="BI7" s="30" t="n">
        <v>58.323</v>
      </c>
      <c r="BJ7" s="30" t="s">
        <v>185</v>
      </c>
      <c r="BK7" s="30" t="n">
        <v>2.923</v>
      </c>
      <c r="BL7" s="30" t="n">
        <v>204.431</v>
      </c>
      <c r="BM7" s="30" t="n">
        <v>224.07</v>
      </c>
      <c r="BN7" s="30" t="n">
        <v>8.633</v>
      </c>
      <c r="BO7" s="30" t="n">
        <v>18.124</v>
      </c>
      <c r="BP7" s="30" t="n">
        <v>87.81</v>
      </c>
      <c r="BQ7" s="30" t="n">
        <v>983.289</v>
      </c>
      <c r="BR7" s="30" t="n">
        <v>488.179</v>
      </c>
      <c r="BS7" s="30" t="n">
        <v>41.488</v>
      </c>
    </row>
    <row r="8" customFormat="false" ht="15" hidden="false" customHeight="false" outlineLevel="0" collapsed="false">
      <c r="B8" s="24" t="n">
        <v>41639</v>
      </c>
      <c r="C8" s="24" t="n">
        <v>41677</v>
      </c>
      <c r="D8" s="25" t="s">
        <v>184</v>
      </c>
      <c r="E8" s="26" t="n">
        <f aca="false">Inputs!$C$13+Inputs!$C$14*M8+Inputs!$C$15*N8+Inputs!$C$16*O8+Inputs!$C$17*P8+Inputs!$C$18*Q8+Inputs!$C$19*R8+Inputs!$C$20*S8+Inputs!$C$21*T8</f>
        <v>-2.08282418529837</v>
      </c>
      <c r="F8" s="26" t="n">
        <f aca="false">EXP(AB8)/(1+EXP(AB8))/Inputs!$C$32</f>
        <v>0.549171853668461</v>
      </c>
      <c r="G8" s="27" t="n">
        <f aca="false">IFERROR((AH8-AI8)/((AN8+BG8)/2),"n/a")</f>
        <v>0.0156697603803457</v>
      </c>
      <c r="H8" s="28" t="n">
        <f aca="false">IFERROR(AI8/AH8,"n/a")</f>
        <v>0.722602739726027</v>
      </c>
      <c r="I8" s="29" t="n">
        <f aca="false">IFERROR(AK8/AD8*365,"n/a")</f>
        <v>46.4773789349356</v>
      </c>
      <c r="J8" s="29" t="n">
        <f aca="false">IFERROR(N(AL8)/AE8*365,"n/a")</f>
        <v>98.4186914068836</v>
      </c>
      <c r="K8" s="9" t="n">
        <f aca="false">IF(E8&gt;Inputs!$C$7,1,0)</f>
        <v>0</v>
      </c>
      <c r="L8" s="9" t="n">
        <f aca="false">IF(F8&gt;Inputs!$C$8,1,0)</f>
        <v>0</v>
      </c>
      <c r="M8" s="17" t="n">
        <f aca="false">IFERROR((AK8/AD8)/(BD8/AW8),1)</f>
        <v>1.15464850326557</v>
      </c>
      <c r="N8" s="17" t="n">
        <f aca="false">IFERROR(((AW8-AX8)/AW8)/((AD8-AE8)/AD8),1)</f>
        <v>0.994859963790849</v>
      </c>
      <c r="O8" s="17" t="n">
        <f aca="false">IFERROR((1-(AM8+AO8)/AN8)/(1-(BF8+BH8)/BG8),1)</f>
        <v>0.947776369333478</v>
      </c>
      <c r="P8" s="17" t="n">
        <f aca="false">IFERROR(AD8/AW8,1)</f>
        <v>1.17386864861055</v>
      </c>
      <c r="Q8" s="17" t="n">
        <f aca="false">IFERROR((AZ8/(AZ8+BH8))/(AG8/(AG8+AO8)),1)</f>
        <v>1.50144972708584</v>
      </c>
      <c r="R8" s="17" t="n">
        <f aca="false">IFERROR((AF8/AD8)/(AY8/AW8),1)</f>
        <v>0.843183789621291</v>
      </c>
      <c r="S8" s="17" t="n">
        <f aca="false">IFERROR((AH8-AI8)/AN8,0)</f>
        <v>0.0142860972639831</v>
      </c>
      <c r="T8" s="17" t="n">
        <f aca="false">IFERROR(((AS8+N(AU8))/AN8)/((BL8+N(BN8))/BG8),1)</f>
        <v>1.08520829618895</v>
      </c>
      <c r="U8" s="17" t="n">
        <f aca="false">IFERROR((((AM8-AP8-N(AQ8))-(AS8-N(AV8))+(AN8-AM8-N(AR8))-(AT8-AS8-N(AU8))+(N(AQ8)+N(AR8))-(N(AU8)+N(AV8)))-((BF8-BI8-N(BJ8))-(BL8-N(BO8))+(BG8-BF8-N(BK8))-(BM8-BL8-N(BN8))+(N(BJ8)+N(BK8))-(N(BN8)+N(BO8))))/((AN8+BG8)/2),0)</f>
        <v>0.0818418042897227</v>
      </c>
      <c r="V8" s="17" t="n">
        <f aca="false">IFERROR((AK8-BD8)/((AN8+BG8)/2),0)</f>
        <v>0.0654059667352267</v>
      </c>
      <c r="W8" s="17" t="n">
        <f aca="false">IFERROR((N(AL8)-N(BE8))/((AN8+BG8)/2),0)</f>
        <v>0.0732493588940013</v>
      </c>
      <c r="X8" s="17" t="n">
        <f aca="false">IFERROR((AN8-N(AO8)-AP8)/AN8,0)</f>
        <v>0.692471473662081</v>
      </c>
      <c r="Y8" s="17" t="n">
        <f aca="false">IF(COUNT(BP8,BQ8,BR8,BS8)=4,IFERROR((AD8-(AK8-BD8))/(AW8-(BD8-BP8))-1,0),0)</f>
        <v>0.177041644860388</v>
      </c>
      <c r="Z8" s="17" t="n">
        <f aca="false">IF(COUNT(BP8,BQ8,BR8,BS8)=4,IFERROR(AH8/((AN8+BG8)/2)-BA8/((BG8+BR8)/2),0),0)</f>
        <v>0.0225265194261831</v>
      </c>
      <c r="AA8" s="9" t="n">
        <f aca="false">IF(N(AJ8)&gt;0,1,0)</f>
        <v>0</v>
      </c>
      <c r="AB8" s="17" t="n">
        <f aca="false">Inputs!$C$24+Inputs!$C$25*U8+Inputs!$C$26*V8+Inputs!$C$27*W8+Inputs!$C$28*X8+Inputs!$C$29*Y8+Inputs!$C$30*Z8+Inputs!$C$31*AA8</f>
        <v>-6.19673231238588</v>
      </c>
      <c r="AD8" s="30" t="n">
        <v>1265.745</v>
      </c>
      <c r="AE8" s="30" t="n">
        <v>1078.945</v>
      </c>
      <c r="AF8" s="30" t="n">
        <v>57.858</v>
      </c>
      <c r="AG8" s="30" t="n">
        <v>6.781</v>
      </c>
      <c r="AH8" s="30" t="n">
        <v>36.5</v>
      </c>
      <c r="AI8" s="30" t="n">
        <v>26.375</v>
      </c>
      <c r="AJ8" s="30" t="s">
        <v>185</v>
      </c>
      <c r="AK8" s="30" t="n">
        <v>161.174</v>
      </c>
      <c r="AL8" s="30" t="n">
        <v>290.927</v>
      </c>
      <c r="AM8" s="30" t="n">
        <v>567.583</v>
      </c>
      <c r="AN8" s="30" t="n">
        <v>708.731</v>
      </c>
      <c r="AO8" s="30" t="n">
        <v>128.072</v>
      </c>
      <c r="AP8" s="30" t="n">
        <v>89.883</v>
      </c>
      <c r="AQ8" s="30" t="s">
        <v>185</v>
      </c>
      <c r="AR8" s="30" t="n">
        <v>2.637</v>
      </c>
      <c r="AS8" s="30" t="n">
        <v>286.642</v>
      </c>
      <c r="AT8" s="30" t="n">
        <v>302.944</v>
      </c>
      <c r="AU8" s="30" t="n">
        <v>5.133</v>
      </c>
      <c r="AV8" s="30" t="n">
        <v>37.208</v>
      </c>
      <c r="AW8" s="30" t="n">
        <v>1078.268</v>
      </c>
      <c r="AX8" s="30" t="n">
        <v>919.954</v>
      </c>
      <c r="AY8" s="30" t="n">
        <v>58.455</v>
      </c>
      <c r="AZ8" s="30" t="n">
        <v>7.898</v>
      </c>
      <c r="BA8" s="30" t="n">
        <v>18.4</v>
      </c>
      <c r="BB8" s="30" t="n">
        <v>-14.82</v>
      </c>
      <c r="BC8" s="30" t="s">
        <v>185</v>
      </c>
      <c r="BD8" s="30" t="n">
        <v>118.912</v>
      </c>
      <c r="BE8" s="30" t="n">
        <v>243.597</v>
      </c>
      <c r="BF8" s="30" t="n">
        <v>475.495</v>
      </c>
      <c r="BG8" s="30" t="n">
        <v>583.567</v>
      </c>
      <c r="BH8" s="30" t="n">
        <v>96.712</v>
      </c>
      <c r="BI8" s="30" t="n">
        <v>88.398</v>
      </c>
      <c r="BJ8" s="30" t="s">
        <v>185</v>
      </c>
      <c r="BK8" s="30" t="n">
        <v>2.65</v>
      </c>
      <c r="BL8" s="30" t="n">
        <v>213.45</v>
      </c>
      <c r="BM8" s="30" t="n">
        <v>232.147</v>
      </c>
      <c r="BN8" s="30" t="n">
        <v>7.933</v>
      </c>
      <c r="BO8" s="30" t="n">
        <v>29.195</v>
      </c>
      <c r="BP8" s="30" t="n">
        <v>80.1</v>
      </c>
      <c r="BQ8" s="30" t="n">
        <v>992.391</v>
      </c>
      <c r="BR8" s="30" t="n">
        <v>499.997</v>
      </c>
      <c r="BS8" s="30" t="n">
        <v>38.693</v>
      </c>
    </row>
    <row r="9" customFormat="false" ht="15" hidden="false" customHeight="false" outlineLevel="0" collapsed="false">
      <c r="B9" s="24" t="n">
        <v>41729</v>
      </c>
      <c r="C9" s="24" t="n">
        <v>41766</v>
      </c>
      <c r="D9" s="25" t="s">
        <v>184</v>
      </c>
      <c r="E9" s="26" t="n">
        <f aca="false">Inputs!$C$13+Inputs!$C$14*M9+Inputs!$C$15*N9+Inputs!$C$16*O9+Inputs!$C$17*P9+Inputs!$C$18*Q9+Inputs!$C$19*R9+Inputs!$C$20*S9+Inputs!$C$21*T9</f>
        <v>-1.93353953280204</v>
      </c>
      <c r="F9" s="26" t="n">
        <f aca="false">EXP(AB9)/(1+EXP(AB9))/Inputs!$C$32</f>
        <v>0.575191495131996</v>
      </c>
      <c r="G9" s="27" t="n">
        <f aca="false">IFERROR((AH9-AI9)/((AN9+BG9)/2),"n/a")</f>
        <v>0.0493834430178869</v>
      </c>
      <c r="H9" s="28" t="n">
        <f aca="false">IFERROR(AI9/AH9,"n/a")</f>
        <v>0.271277751227354</v>
      </c>
      <c r="I9" s="29" t="n">
        <f aca="false">IFERROR(AK9/AD9*365,"n/a")</f>
        <v>48.8004988740079</v>
      </c>
      <c r="J9" s="29" t="n">
        <f aca="false">IFERROR(N(AL9)/AE9*365,"n/a")</f>
        <v>93.1487942090902</v>
      </c>
      <c r="K9" s="9" t="n">
        <f aca="false">IF(E9&gt;Inputs!$C$7,1,0)</f>
        <v>0</v>
      </c>
      <c r="L9" s="9" t="n">
        <f aca="false">IF(F9&gt;Inputs!$C$8,1,0)</f>
        <v>0</v>
      </c>
      <c r="M9" s="17" t="n">
        <f aca="false">IFERROR((AK9/AD9)/(BD9/AW9),1)</f>
        <v>1.2197727246165</v>
      </c>
      <c r="N9" s="17" t="n">
        <f aca="false">IFERROR(((AW9-AX9)/AW9)/((AD9-AE9)/AD9),1)</f>
        <v>0.930318515869213</v>
      </c>
      <c r="O9" s="17" t="n">
        <f aca="false">IFERROR((1-(AM9+AO9)/AN9)/(1-(BF9+BH9)/BG9),1)</f>
        <v>0.708099713101335</v>
      </c>
      <c r="P9" s="17" t="n">
        <f aca="false">IFERROR(AD9/AW9,1)</f>
        <v>1.21981607778347</v>
      </c>
      <c r="Q9" s="17" t="n">
        <f aca="false">IFERROR((AZ9/(AZ9+BH9))/(AG9/(AG9+AO9)),1)</f>
        <v>1.57400885477744</v>
      </c>
      <c r="R9" s="17" t="n">
        <f aca="false">IFERROR((AF9/AD9)/(AY9/AW9),1)</f>
        <v>0.804705675086391</v>
      </c>
      <c r="S9" s="17" t="n">
        <f aca="false">IFERROR((AH9-AI9)/AN9,0)</f>
        <v>0.0446957594588437</v>
      </c>
      <c r="T9" s="17" t="n">
        <f aca="false">IFERROR(((AS9+N(AU9))/AN9)/((BL9+N(BN9))/BG9),1)</f>
        <v>1.01779798775669</v>
      </c>
      <c r="U9" s="17" t="n">
        <f aca="false">IFERROR((((AM9-AP9-N(AQ9))-(AS9-N(AV9))+(AN9-AM9-N(AR9))-(AT9-AS9-N(AU9))+(N(AQ9)+N(AR9))-(N(AU9)+N(AV9)))-((BF9-BI9-N(BJ9))-(BL9-N(BO9))+(BG9-BF9-N(BK9))-(BM9-BL9-N(BN9))+(N(BJ9)+N(BK9))-(N(BN9)+N(BO9))))/((AN9+BG9)/2),0)</f>
        <v>0.10692238219982</v>
      </c>
      <c r="V9" s="17" t="n">
        <f aca="false">IFERROR((AK9-BD9)/((AN9+BG9)/2),0)</f>
        <v>0.0878688466671034</v>
      </c>
      <c r="W9" s="17" t="n">
        <f aca="false">IFERROR((N(AL9)-N(BE9))/((AN9+BG9)/2),0)</f>
        <v>0.055569254368306</v>
      </c>
      <c r="X9" s="17" t="n">
        <f aca="false">IFERROR((AN9-N(AO9)-AP9)/AN9,0)</f>
        <v>0.693263925621652</v>
      </c>
      <c r="Y9" s="17" t="n">
        <f aca="false">IF(COUNT(BP9,BQ9,BR9,BS9)=4,IFERROR((AD9-(AK9-BD9))/(AW9-(BD9-BP9))-1,0),0)</f>
        <v>0.18909263631921</v>
      </c>
      <c r="Z9" s="17" t="n">
        <f aca="false">IF(COUNT(BP9,BQ9,BR9,BS9)=4,IFERROR(AH9/((AN9+BG9)/2)-BA9/((BG9+BR9)/2),0),0)</f>
        <v>0.0360019431078947</v>
      </c>
      <c r="AA9" s="9" t="n">
        <f aca="false">IF(N(AJ9)&gt;0,1,0)</f>
        <v>0</v>
      </c>
      <c r="AB9" s="17" t="n">
        <f aca="false">Inputs!$C$24+Inputs!$C$25*U9+Inputs!$C$26*V9+Inputs!$C$27*W9+Inputs!$C$28*X9+Inputs!$C$29*Y9+Inputs!$C$30*Z9+Inputs!$C$31*AA9</f>
        <v>-6.15034424156245</v>
      </c>
      <c r="AD9" s="30" t="n">
        <v>1361.466</v>
      </c>
      <c r="AE9" s="30" t="n">
        <v>1156.295</v>
      </c>
      <c r="AF9" s="30" t="n">
        <v>58.233</v>
      </c>
      <c r="AG9" s="30" t="n">
        <v>6.525</v>
      </c>
      <c r="AH9" s="30" t="n">
        <v>46.034</v>
      </c>
      <c r="AI9" s="30" t="n">
        <v>12.488</v>
      </c>
      <c r="AJ9" s="30" t="s">
        <v>185</v>
      </c>
      <c r="AK9" s="30" t="n">
        <v>182.028</v>
      </c>
      <c r="AL9" s="30" t="n">
        <v>295.089</v>
      </c>
      <c r="AM9" s="30" t="n">
        <v>610.845</v>
      </c>
      <c r="AN9" s="30" t="n">
        <v>750.541</v>
      </c>
      <c r="AO9" s="30" t="n">
        <v>128.504</v>
      </c>
      <c r="AP9" s="30" t="n">
        <v>101.714</v>
      </c>
      <c r="AQ9" s="30" t="s">
        <v>185</v>
      </c>
      <c r="AR9" s="30" t="n">
        <v>2.637</v>
      </c>
      <c r="AS9" s="30" t="n">
        <v>292.53</v>
      </c>
      <c r="AT9" s="30" t="n">
        <v>308.002</v>
      </c>
      <c r="AU9" s="30" t="n">
        <v>4.433</v>
      </c>
      <c r="AV9" s="30" t="n">
        <v>42.13</v>
      </c>
      <c r="AW9" s="30" t="n">
        <v>1116.124</v>
      </c>
      <c r="AX9" s="30" t="n">
        <v>959.646</v>
      </c>
      <c r="AY9" s="30" t="n">
        <v>59.325</v>
      </c>
      <c r="AZ9" s="30" t="n">
        <v>7.857</v>
      </c>
      <c r="BA9" s="30" t="n">
        <v>18.363</v>
      </c>
      <c r="BB9" s="30" t="n">
        <v>11.008</v>
      </c>
      <c r="BC9" s="30" t="s">
        <v>185</v>
      </c>
      <c r="BD9" s="30" t="n">
        <v>122.339</v>
      </c>
      <c r="BE9" s="30" t="n">
        <v>257.341</v>
      </c>
      <c r="BF9" s="30" t="n">
        <v>499.805</v>
      </c>
      <c r="BG9" s="30" t="n">
        <v>608.052</v>
      </c>
      <c r="BH9" s="30" t="n">
        <v>95.442</v>
      </c>
      <c r="BI9" s="30" t="n">
        <v>93.974</v>
      </c>
      <c r="BJ9" s="30" t="s">
        <v>185</v>
      </c>
      <c r="BK9" s="30" t="n">
        <v>2.65</v>
      </c>
      <c r="BL9" s="30" t="n">
        <v>229.145</v>
      </c>
      <c r="BM9" s="30" t="n">
        <v>245.885</v>
      </c>
      <c r="BN9" s="30" t="n">
        <v>7.233</v>
      </c>
      <c r="BO9" s="30" t="n">
        <v>28.745</v>
      </c>
      <c r="BP9" s="30" t="n">
        <v>100.98</v>
      </c>
      <c r="BQ9" s="30" t="n">
        <v>998.281</v>
      </c>
      <c r="BR9" s="30" t="n">
        <v>548.118</v>
      </c>
      <c r="BS9" s="30" t="n">
        <v>35.074</v>
      </c>
    </row>
    <row r="10" customFormat="false" ht="15" hidden="false" customHeight="false" outlineLevel="0" collapsed="false">
      <c r="B10" s="24" t="n">
        <v>41820</v>
      </c>
      <c r="C10" s="24" t="n">
        <v>41897</v>
      </c>
      <c r="D10" s="25" t="s">
        <v>184</v>
      </c>
      <c r="E10" s="26" t="n">
        <f aca="false">Inputs!$C$13+Inputs!$C$14*M10+Inputs!$C$15*N10+Inputs!$C$16*O10+Inputs!$C$17*P10+Inputs!$C$18*Q10+Inputs!$C$19*R10+Inputs!$C$20*S10+Inputs!$C$21*T10</f>
        <v>-1.92531388664971</v>
      </c>
      <c r="F10" s="26" t="n">
        <f aca="false">EXP(AB10)/(1+EXP(AB10))/Inputs!$C$32</f>
        <v>1.77943885504292</v>
      </c>
      <c r="G10" s="27" t="n">
        <f aca="false">IFERROR((AH10-AI10)/((AN10+BG10)/2),"n/a")</f>
        <v>0.0666661066708107</v>
      </c>
      <c r="H10" s="28" t="n">
        <f aca="false">IFERROR(AI10/AH10,"n/a")</f>
        <v>0.120723082888639</v>
      </c>
      <c r="I10" s="29" t="n">
        <f aca="false">IFERROR(AK10/AD10*365,"n/a")</f>
        <v>52.9234352188724</v>
      </c>
      <c r="J10" s="29" t="n">
        <f aca="false">IFERROR(N(AL10)/AE10*365,"n/a")</f>
        <v>92.8440825445353</v>
      </c>
      <c r="K10" s="9" t="n">
        <f aca="false">IF(E10&gt;Inputs!$C$7,1,0)</f>
        <v>0</v>
      </c>
      <c r="L10" s="9" t="n">
        <f aca="false">IF(F10&gt;Inputs!$C$8,1,0)</f>
        <v>0</v>
      </c>
      <c r="M10" s="17" t="n">
        <f aca="false">IFERROR((AK10/AD10)/(BD10/AW10),1)</f>
        <v>1.12874220582412</v>
      </c>
      <c r="N10" s="17" t="n">
        <f aca="false">IFERROR(((AW10-AX10)/AW10)/((AD10-AE10)/AD10),1)</f>
        <v>0.895580802575556</v>
      </c>
      <c r="O10" s="17" t="n">
        <f aca="false">IFERROR((1-(AM10+AO10)/AN10)/(1-(BF10+BH10)/BG10),1)</f>
        <v>0.703543174074321</v>
      </c>
      <c r="P10" s="17" t="n">
        <f aca="false">IFERROR(AD10/AW10,1)</f>
        <v>1.26204302397896</v>
      </c>
      <c r="Q10" s="17" t="n">
        <f aca="false">IFERROR((AZ10/(AZ10+BH10))/(AG10/(AG10+AO10)),1)</f>
        <v>1.62519258657791</v>
      </c>
      <c r="R10" s="17" t="n">
        <f aca="false">IFERROR((AF10/AD10)/(AY10/AW10),1)</f>
        <v>0.83827041532301</v>
      </c>
      <c r="S10" s="17" t="n">
        <f aca="false">IFERROR((AH10-AI10)/AN10,0)</f>
        <v>0.0597984491256711</v>
      </c>
      <c r="T10" s="17" t="n">
        <f aca="false">IFERROR(((AS10+N(AU10))/AN10)/((BL10+N(BN10))/BG10),1)</f>
        <v>1.00644886533016</v>
      </c>
      <c r="U10" s="17" t="n">
        <f aca="false">IFERROR((((AM10-AP10-N(AQ10))-(AS10-N(AV10))+(AN10-AM10-N(AR10))-(AT10-AS10-N(AU10))+(N(AQ10)+N(AR10))-(N(AU10)+N(AV10)))-((BF10-BI10-N(BJ10))-(BL10-N(BO10))+(BG10-BF10-N(BK10))-(BM10-BL10-N(BN10))+(N(BJ10)+N(BK10))-(N(BN10)+N(BO10))))/((AN10+BG10)/2),0)</f>
        <v>0.128341250274748</v>
      </c>
      <c r="V10" s="17" t="n">
        <f aca="false">IFERROR((AK10-BD10)/((AN10+BG10)/2),0)</f>
        <v>0.0887565432015803</v>
      </c>
      <c r="W10" s="17" t="n">
        <f aca="false">IFERROR((N(AL10)-N(BE10))/((AN10+BG10)/2),0)</f>
        <v>0.0863331611346076</v>
      </c>
      <c r="X10" s="17" t="n">
        <f aca="false">IFERROR((AN10-N(AO10)-AP10)/AN10,0)</f>
        <v>0.714361598593539</v>
      </c>
      <c r="Y10" s="17" t="n">
        <f aca="false">IF(COUNT(BP10,BQ10,BR10,BS10)=4,IFERROR((AD10-(AK10-BD10))/(AW10-(BD10-BP10))-1,0),0)</f>
        <v>0.258751742906204</v>
      </c>
      <c r="Z10" s="17" t="n">
        <f aca="false">IF(COUNT(BP10,BQ10,BR10,BS10)=4,IFERROR(AH10/((AN10+BG10)/2)-BA10/((BG10+BR10)/2),0),0)</f>
        <v>0.0409744757228549</v>
      </c>
      <c r="AA10" s="9" t="n">
        <f aca="false">IF(N(AJ10)&gt;0,1,0)</f>
        <v>1</v>
      </c>
      <c r="AB10" s="17" t="n">
        <f aca="false">Inputs!$C$24+Inputs!$C$25*U10+Inputs!$C$26*V10+Inputs!$C$27*W10+Inputs!$C$28*X10+Inputs!$C$29*Y10+Inputs!$C$30*Z10+Inputs!$C$31*AA10</f>
        <v>-5.01651870131018</v>
      </c>
      <c r="AD10" s="30" t="n">
        <v>1467.202</v>
      </c>
      <c r="AE10" s="30" t="n">
        <v>1241.657</v>
      </c>
      <c r="AF10" s="30" t="n">
        <v>61.029</v>
      </c>
      <c r="AG10" s="30" t="n">
        <v>6.364</v>
      </c>
      <c r="AH10" s="30" t="n">
        <v>54.157</v>
      </c>
      <c r="AI10" s="30" t="n">
        <v>6.538</v>
      </c>
      <c r="AJ10" s="30" t="n">
        <v>17.354</v>
      </c>
      <c r="AK10" s="30" t="n">
        <v>212.738</v>
      </c>
      <c r="AL10" s="30" t="n">
        <v>315.837</v>
      </c>
      <c r="AM10" s="30" t="n">
        <v>654.081</v>
      </c>
      <c r="AN10" s="30" t="n">
        <v>796.325</v>
      </c>
      <c r="AO10" s="30" t="n">
        <v>130.589</v>
      </c>
      <c r="AP10" s="30" t="n">
        <v>96.872</v>
      </c>
      <c r="AQ10" s="30" t="s">
        <v>185</v>
      </c>
      <c r="AR10" s="30" t="n">
        <v>2.647</v>
      </c>
      <c r="AS10" s="30" t="n">
        <v>310.886</v>
      </c>
      <c r="AT10" s="30" t="n">
        <v>327.094</v>
      </c>
      <c r="AU10" s="30" t="n">
        <v>3.733</v>
      </c>
      <c r="AV10" s="30" t="n">
        <v>42.554</v>
      </c>
      <c r="AW10" s="30" t="n">
        <v>1162.561</v>
      </c>
      <c r="AX10" s="30" t="n">
        <v>1002.508</v>
      </c>
      <c r="AY10" s="30" t="n">
        <v>57.687</v>
      </c>
      <c r="AZ10" s="30" t="n">
        <v>7.835</v>
      </c>
      <c r="BA10" s="30" t="n">
        <v>21.279</v>
      </c>
      <c r="BB10" s="30" t="n">
        <v>13.583</v>
      </c>
      <c r="BC10" s="30" t="n">
        <v>20.641</v>
      </c>
      <c r="BD10" s="30" t="n">
        <v>149.34</v>
      </c>
      <c r="BE10" s="30" t="n">
        <v>254.17</v>
      </c>
      <c r="BF10" s="30" t="n">
        <v>523.192</v>
      </c>
      <c r="BG10" s="30" t="n">
        <v>632.257</v>
      </c>
      <c r="BH10" s="30" t="n">
        <v>95.912</v>
      </c>
      <c r="BI10" s="30" t="n">
        <v>93.038</v>
      </c>
      <c r="BJ10" s="30" t="s">
        <v>185</v>
      </c>
      <c r="BK10" s="30" t="n">
        <v>2.637</v>
      </c>
      <c r="BL10" s="30" t="n">
        <v>241.664</v>
      </c>
      <c r="BM10" s="30" t="n">
        <v>258.533</v>
      </c>
      <c r="BN10" s="30" t="n">
        <v>6.533</v>
      </c>
      <c r="BO10" s="30" t="n">
        <v>28.638</v>
      </c>
      <c r="BP10" s="30" t="n">
        <v>102.014</v>
      </c>
      <c r="BQ10" s="30" t="n">
        <v>1013.874</v>
      </c>
      <c r="BR10" s="30" t="n">
        <v>589.103</v>
      </c>
      <c r="BS10" s="30" t="n">
        <v>29.853</v>
      </c>
    </row>
    <row r="11" customFormat="false" ht="15" hidden="false" customHeight="false" outlineLevel="0" collapsed="false">
      <c r="B11" s="24" t="n">
        <v>41912</v>
      </c>
      <c r="C11" s="24" t="n">
        <v>41949</v>
      </c>
      <c r="D11" s="25" t="s">
        <v>184</v>
      </c>
      <c r="E11" s="26" t="n">
        <f aca="false">Inputs!$C$13+Inputs!$C$14*M11+Inputs!$C$15*N11+Inputs!$C$16*O11+Inputs!$C$17*P11+Inputs!$C$18*Q11+Inputs!$C$19*R11+Inputs!$C$20*S11+Inputs!$C$21*T11</f>
        <v>-1.96545742910376</v>
      </c>
      <c r="F11" s="26" t="n">
        <f aca="false">EXP(AB11)/(1+EXP(AB11))/Inputs!$C$32</f>
        <v>0.643289284945033</v>
      </c>
      <c r="G11" s="27" t="n">
        <f aca="false">IFERROR((AH11-AI11)/((AN11+BG11)/2),"n/a")</f>
        <v>0.0710947670677848</v>
      </c>
      <c r="H11" s="28" t="n">
        <f aca="false">IFERROR(AI11/AH11,"n/a")</f>
        <v>0.226927704579552</v>
      </c>
      <c r="I11" s="29" t="n">
        <f aca="false">IFERROR(AK11/AD11*365,"n/a")</f>
        <v>44.2989045324781</v>
      </c>
      <c r="J11" s="29" t="n">
        <f aca="false">IFERROR(N(AL11)/AE11*365,"n/a")</f>
        <v>92.0995602713433</v>
      </c>
      <c r="K11" s="9" t="n">
        <f aca="false">IF(E11&gt;Inputs!$C$7,1,0)</f>
        <v>0</v>
      </c>
      <c r="L11" s="9" t="n">
        <f aca="false">IF(F11&gt;Inputs!$C$8,1,0)</f>
        <v>0</v>
      </c>
      <c r="M11" s="17" t="n">
        <f aca="false">IFERROR((AK11/AD11)/(BD11/AW11),1)</f>
        <v>1.08720104470585</v>
      </c>
      <c r="N11" s="17" t="n">
        <f aca="false">IFERROR(((AW11-AX11)/AW11)/((AD11-AE11)/AD11),1)</f>
        <v>0.92421923025813</v>
      </c>
      <c r="O11" s="17" t="n">
        <f aca="false">IFERROR((1-(AM11+AO11)/AN11)/(1-(BF11+BH11)/BG11),1)</f>
        <v>0.523804858950956</v>
      </c>
      <c r="P11" s="17" t="n">
        <f aca="false">IFERROR(AD11/AW11,1)</f>
        <v>1.33362312323565</v>
      </c>
      <c r="Q11" s="17" t="n">
        <f aca="false">IFERROR((AZ11/(AZ11+BH11))/(AG11/(AG11+AO11)),1)</f>
        <v>1.43425837440504</v>
      </c>
      <c r="R11" s="17" t="n">
        <f aca="false">IFERROR((AF11/AD11)/(AY11/AW11),1)</f>
        <v>0.821894307519101</v>
      </c>
      <c r="S11" s="17" t="n">
        <f aca="false">IFERROR((AH11-AI11)/AN11,0)</f>
        <v>0.0628342036159488</v>
      </c>
      <c r="T11" s="17" t="n">
        <f aca="false">IFERROR(((AS11+N(AU11))/AN11)/((BL11+N(BN11))/BG11),1)</f>
        <v>1.0166797053032</v>
      </c>
      <c r="U11" s="17" t="n">
        <f aca="false">IFERROR((((AM11-AP11-N(AQ11))-(AS11-N(AV11))+(AN11-AM11-N(AR11))-(AT11-AS11-N(AU11))+(N(AQ11)+N(AR11))-(N(AU11)+N(AV11)))-((BF11-BI11-N(BJ11))-(BL11-N(BO11))+(BG11-BF11-N(BK11))-(BM11-BL11-N(BN11))+(N(BJ11)+N(BK11))-(N(BN11)+N(BO11))))/((AN11+BG11)/2),0)</f>
        <v>0.145424343305051</v>
      </c>
      <c r="V11" s="17" t="n">
        <f aca="false">IFERROR((AK11-BD11)/((AN11+BG11)/2),0)</f>
        <v>0.0823920102399196</v>
      </c>
      <c r="W11" s="17" t="n">
        <f aca="false">IFERROR((N(AL11)-N(BE11))/((AN11+BG11)/2),0)</f>
        <v>0.119162009570554</v>
      </c>
      <c r="X11" s="17" t="n">
        <f aca="false">IFERROR((AN11-N(AO11)-AP11)/AN11,0)</f>
        <v>0.697468835833509</v>
      </c>
      <c r="Y11" s="17" t="n">
        <f aca="false">IF(COUNT(BP11,BQ11,BR11,BS11)=4,IFERROR((AD11-(AK11-BD11))/(AW11-(BD11-BP11))-1,0),0)</f>
        <v>0.30653839730553</v>
      </c>
      <c r="Z11" s="17" t="n">
        <f aca="false">IF(COUNT(BP11,BQ11,BR11,BS11)=4,IFERROR(AH11/((AN11+BG11)/2)-BA11/((BG11+BR11)/2),0),0)</f>
        <v>0.045256831984576</v>
      </c>
      <c r="AA11" s="9" t="n">
        <f aca="false">IF(N(AJ11)&gt;0,1,0)</f>
        <v>0</v>
      </c>
      <c r="AB11" s="17" t="n">
        <f aca="false">Inputs!$C$24+Inputs!$C$25*U11+Inputs!$C$26*V11+Inputs!$C$27*W11+Inputs!$C$28*X11+Inputs!$C$29*Y11+Inputs!$C$30*Z11+Inputs!$C$31*AA11</f>
        <v>-6.03820020896223</v>
      </c>
      <c r="AD11" s="30" t="n">
        <v>1601.508</v>
      </c>
      <c r="AE11" s="30" t="n">
        <v>1353.562</v>
      </c>
      <c r="AF11" s="30" t="n">
        <v>62.574</v>
      </c>
      <c r="AG11" s="30" t="n">
        <v>6.818</v>
      </c>
      <c r="AH11" s="30" t="n">
        <v>67.321</v>
      </c>
      <c r="AI11" s="30" t="n">
        <v>15.277</v>
      </c>
      <c r="AJ11" s="30" t="s">
        <v>185</v>
      </c>
      <c r="AK11" s="30" t="n">
        <v>194.37</v>
      </c>
      <c r="AL11" s="30" t="n">
        <v>341.541</v>
      </c>
      <c r="AM11" s="30" t="n">
        <v>685.102</v>
      </c>
      <c r="AN11" s="30" t="n">
        <v>828.275</v>
      </c>
      <c r="AO11" s="30" t="n">
        <v>133.067</v>
      </c>
      <c r="AP11" s="30" t="n">
        <v>117.512</v>
      </c>
      <c r="AQ11" s="30" t="s">
        <v>185</v>
      </c>
      <c r="AR11" s="30" t="n">
        <v>2.647</v>
      </c>
      <c r="AS11" s="30" t="n">
        <v>313.954</v>
      </c>
      <c r="AT11" s="30" t="n">
        <v>329.801</v>
      </c>
      <c r="AU11" s="30" t="n">
        <v>3.033</v>
      </c>
      <c r="AV11" s="30" t="n">
        <v>34.446</v>
      </c>
      <c r="AW11" s="30" t="n">
        <v>1200.87</v>
      </c>
      <c r="AX11" s="30" t="n">
        <v>1029.04</v>
      </c>
      <c r="AY11" s="30" t="n">
        <v>57.088</v>
      </c>
      <c r="AZ11" s="30" t="n">
        <v>7.273</v>
      </c>
      <c r="BA11" s="30" t="n">
        <v>28.079</v>
      </c>
      <c r="BB11" s="30" t="n">
        <v>58.444</v>
      </c>
      <c r="BC11" s="30" t="s">
        <v>185</v>
      </c>
      <c r="BD11" s="30" t="n">
        <v>134.056</v>
      </c>
      <c r="BE11" s="30" t="n">
        <v>254.31</v>
      </c>
      <c r="BF11" s="30" t="n">
        <v>524.222</v>
      </c>
      <c r="BG11" s="30" t="n">
        <v>635.799</v>
      </c>
      <c r="BH11" s="30" t="n">
        <v>96.767</v>
      </c>
      <c r="BI11" s="30" t="n">
        <v>111.458</v>
      </c>
      <c r="BJ11" s="30" t="s">
        <v>185</v>
      </c>
      <c r="BK11" s="30" t="n">
        <v>2.637</v>
      </c>
      <c r="BL11" s="30" t="n">
        <v>218.283</v>
      </c>
      <c r="BM11" s="30" t="n">
        <v>249.835</v>
      </c>
      <c r="BN11" s="30" t="n">
        <v>21.05</v>
      </c>
      <c r="BO11" s="30" t="n">
        <v>13.699</v>
      </c>
      <c r="BP11" s="30" t="n">
        <v>112.787</v>
      </c>
      <c r="BQ11" s="30" t="n">
        <v>1036.696</v>
      </c>
      <c r="BR11" s="30" t="n">
        <v>566.545</v>
      </c>
      <c r="BS11" s="30" t="n">
        <v>22.26</v>
      </c>
    </row>
    <row r="12" customFormat="false" ht="15" hidden="false" customHeight="false" outlineLevel="0" collapsed="false">
      <c r="B12" s="24" t="n">
        <v>42004</v>
      </c>
      <c r="C12" s="24" t="n">
        <v>42044</v>
      </c>
      <c r="D12" s="25" t="s">
        <v>184</v>
      </c>
      <c r="E12" s="26" t="n">
        <f aca="false">Inputs!$C$13+Inputs!$C$14*M12+Inputs!$C$15*N12+Inputs!$C$16*O12+Inputs!$C$17*P12+Inputs!$C$18*Q12+Inputs!$C$19*R12+Inputs!$C$20*S12+Inputs!$C$21*T12</f>
        <v>-1.60703378520697</v>
      </c>
      <c r="F12" s="26" t="n">
        <f aca="false">EXP(AB12)/(1+EXP(AB12))/Inputs!$C$32</f>
        <v>0.844376831894906</v>
      </c>
      <c r="G12" s="27" t="n">
        <f aca="false">IFERROR((AH12-AI12)/((AN12+BG12)/2),"n/a")</f>
        <v>0.128694247134031</v>
      </c>
      <c r="H12" s="28" t="n">
        <f aca="false">IFERROR(AI12/AH12,"n/a")</f>
        <v>-0.241047543060966</v>
      </c>
      <c r="I12" s="29" t="n">
        <f aca="false">IFERROR(AK12/AD12*365,"n/a")</f>
        <v>54.0317591067179</v>
      </c>
      <c r="J12" s="29" t="n">
        <f aca="false">IFERROR(N(AL12)/AE12*365,"n/a")</f>
        <v>101.546329547324</v>
      </c>
      <c r="K12" s="9" t="n">
        <f aca="false">IF(E12&gt;Inputs!$C$7,1,0)</f>
        <v>1</v>
      </c>
      <c r="L12" s="9" t="n">
        <f aca="false">IF(F12&gt;Inputs!$C$8,1,0)</f>
        <v>0</v>
      </c>
      <c r="M12" s="17" t="n">
        <f aca="false">IFERROR((AK12/AD12)/(BD12/AW12),1)</f>
        <v>1.16253885965381</v>
      </c>
      <c r="N12" s="17" t="n">
        <f aca="false">IFERROR(((AW12-AX12)/AW12)/((AD12-AE12)/AD12),1)</f>
        <v>0.93036328580159</v>
      </c>
      <c r="O12" s="17" t="n">
        <f aca="false">IFERROR((1-(AM12+AO12)/AN12)/(1-(BF12+BH12)/BG12),1)</f>
        <v>0.616703867328436</v>
      </c>
      <c r="P12" s="17" t="n">
        <f aca="false">IFERROR(AD12/AW12,1)</f>
        <v>1.38113127051657</v>
      </c>
      <c r="Q12" s="17" t="n">
        <f aca="false">IFERROR((AZ12/(AZ12+BH12))/(AG12/(AG12+AO12)),1)</f>
        <v>1.03444821743506</v>
      </c>
      <c r="R12" s="17" t="n">
        <f aca="false">IFERROR((AF12/AD12)/(AY12/AW12),1)</f>
        <v>0.803609152672047</v>
      </c>
      <c r="S12" s="17" t="n">
        <f aca="false">IFERROR((AH12-AI12)/AN12,0)</f>
        <v>0.113120173339993</v>
      </c>
      <c r="T12" s="17" t="n">
        <f aca="false">IFERROR(((AS12+N(AU12))/AN12)/((BL12+N(BN12))/BG12),1)</f>
        <v>0.975378802741447</v>
      </c>
      <c r="U12" s="17" t="n">
        <f aca="false">IFERROR((((AM12-AP12-N(AQ12))-(AS12-N(AV12))+(AN12-AM12-N(AR12))-(AT12-AS12-N(AU12))+(N(AQ12)+N(AR12))-(N(AU12)+N(AV12)))-((BF12-BI12-N(BJ12))-(BL12-N(BO12))+(BG12-BF12-N(BK12))-(BM12-BL12-N(BN12))+(N(BJ12)+N(BK12))-(N(BN12)+N(BO12))))/((AN12+BG12)/2),0)</f>
        <v>0.177782563518542</v>
      </c>
      <c r="V12" s="17" t="n">
        <f aca="false">IFERROR((AK12-BD12)/((AN12+BG12)/2),0)</f>
        <v>0.118763429478054</v>
      </c>
      <c r="W12" s="17" t="n">
        <f aca="false">IFERROR((N(AL12)-N(BE12))/((AN12+BG12)/2),0)</f>
        <v>0.143910469335163</v>
      </c>
      <c r="X12" s="17" t="n">
        <f aca="false">IFERROR((AN12-N(AO12)-AP12)/AN12,0)</f>
        <v>0.758448025273758</v>
      </c>
      <c r="Y12" s="17" t="n">
        <f aca="false">IF(COUNT(BP12,BQ12,BR12,BS12)=4,IFERROR((AD12-(AK12-BD12))/(AW12-(BD12-BP12))-1,0),0)</f>
        <v>0.349058384955083</v>
      </c>
      <c r="Z12" s="17" t="n">
        <f aca="false">IF(COUNT(BP12,BQ12,BR12,BS12)=4,IFERROR(AH12/((AN12+BG12)/2)-BA12/((BG12+BR12)/2),0),0)</f>
        <v>0.0472095608803672</v>
      </c>
      <c r="AA12" s="9" t="n">
        <f aca="false">IF(N(AJ12)&gt;0,1,0)</f>
        <v>0</v>
      </c>
      <c r="AB12" s="17" t="n">
        <f aca="false">Inputs!$C$24+Inputs!$C$25*U12+Inputs!$C$26*V12+Inputs!$C$27*W12+Inputs!$C$28*X12+Inputs!$C$29*Y12+Inputs!$C$30*Z12+Inputs!$C$31*AA12</f>
        <v>-5.76544977531285</v>
      </c>
      <c r="AD12" s="30" t="n">
        <v>1748.16</v>
      </c>
      <c r="AE12" s="30" t="n">
        <v>1470.854</v>
      </c>
      <c r="AF12" s="30" t="n">
        <v>64.216</v>
      </c>
      <c r="AG12" s="30" t="n">
        <v>7.289</v>
      </c>
      <c r="AH12" s="30" t="n">
        <v>85.228</v>
      </c>
      <c r="AI12" s="30" t="n">
        <v>-20.544</v>
      </c>
      <c r="AJ12" s="30" t="s">
        <v>185</v>
      </c>
      <c r="AK12" s="30" t="n">
        <v>258.784</v>
      </c>
      <c r="AL12" s="30" t="n">
        <v>409.205</v>
      </c>
      <c r="AM12" s="30" t="n">
        <v>781.742</v>
      </c>
      <c r="AN12" s="30" t="n">
        <v>935.041</v>
      </c>
      <c r="AO12" s="30" t="n">
        <v>142.66</v>
      </c>
      <c r="AP12" s="30" t="n">
        <v>83.201</v>
      </c>
      <c r="AQ12" s="30" t="s">
        <v>185</v>
      </c>
      <c r="AR12" s="30" t="n">
        <v>2.647</v>
      </c>
      <c r="AS12" s="30" t="n">
        <v>373.133</v>
      </c>
      <c r="AT12" s="30" t="n">
        <v>389.819</v>
      </c>
      <c r="AU12" s="30" t="n">
        <v>2.333</v>
      </c>
      <c r="AV12" s="30" t="n">
        <v>33.459</v>
      </c>
      <c r="AW12" s="30" t="n">
        <v>1265.745</v>
      </c>
      <c r="AX12" s="30" t="n">
        <v>1078.945</v>
      </c>
      <c r="AY12" s="30" t="n">
        <v>57.858</v>
      </c>
      <c r="AZ12" s="30" t="n">
        <v>6.781</v>
      </c>
      <c r="BA12" s="30" t="n">
        <v>36.5</v>
      </c>
      <c r="BB12" s="30" t="n">
        <v>26.375</v>
      </c>
      <c r="BC12" s="30" t="s">
        <v>185</v>
      </c>
      <c r="BD12" s="30" t="n">
        <v>161.174</v>
      </c>
      <c r="BE12" s="30" t="n">
        <v>290.927</v>
      </c>
      <c r="BF12" s="30" t="n">
        <v>567.583</v>
      </c>
      <c r="BG12" s="30" t="n">
        <v>708.731</v>
      </c>
      <c r="BH12" s="30" t="n">
        <v>128.072</v>
      </c>
      <c r="BI12" s="30" t="n">
        <v>89.883</v>
      </c>
      <c r="BJ12" s="30" t="s">
        <v>185</v>
      </c>
      <c r="BK12" s="30" t="n">
        <v>2.637</v>
      </c>
      <c r="BL12" s="30" t="n">
        <v>286.642</v>
      </c>
      <c r="BM12" s="30" t="n">
        <v>302.944</v>
      </c>
      <c r="BN12" s="30" t="n">
        <v>5.133</v>
      </c>
      <c r="BO12" s="30" t="n">
        <v>37.208</v>
      </c>
      <c r="BP12" s="30" t="n">
        <v>118.912</v>
      </c>
      <c r="BQ12" s="30" t="n">
        <v>1078.268</v>
      </c>
      <c r="BR12" s="30" t="n">
        <v>583.567</v>
      </c>
      <c r="BS12" s="30" t="n">
        <v>18.4</v>
      </c>
    </row>
    <row r="13" customFormat="false" ht="15" hidden="false" customHeight="false" outlineLevel="0" collapsed="false">
      <c r="B13" s="24" t="n">
        <v>42094</v>
      </c>
      <c r="C13" s="24" t="n">
        <v>42131</v>
      </c>
      <c r="D13" s="25" t="s">
        <v>184</v>
      </c>
      <c r="E13" s="26" t="n">
        <f aca="false">Inputs!$C$13+Inputs!$C$14*M13+Inputs!$C$15*N13+Inputs!$C$16*O13+Inputs!$C$17*P13+Inputs!$C$18*Q13+Inputs!$C$19*R13+Inputs!$C$20*S13+Inputs!$C$21*T13</f>
        <v>-1.87388477229684</v>
      </c>
      <c r="F13" s="26" t="n">
        <f aca="false">EXP(AB13)/(1+EXP(AB13))/Inputs!$C$32</f>
        <v>0.671384255128799</v>
      </c>
      <c r="G13" s="27" t="n">
        <f aca="false">IFERROR((AH13-AI13)/((AN13+BG13)/2),"n/a")</f>
        <v>0.103513755753718</v>
      </c>
      <c r="H13" s="28" t="n">
        <f aca="false">IFERROR(AI13/AH13,"n/a")</f>
        <v>0.0341075128121252</v>
      </c>
      <c r="I13" s="29" t="n">
        <f aca="false">IFERROR(AK13/AD13*365,"n/a")</f>
        <v>43.8168890839442</v>
      </c>
      <c r="J13" s="29" t="n">
        <f aca="false">IFERROR(N(AL13)/AE13*365,"n/a")</f>
        <v>101.428638763198</v>
      </c>
      <c r="K13" s="9" t="n">
        <f aca="false">IF(E13&gt;Inputs!$C$7,1,0)</f>
        <v>0</v>
      </c>
      <c r="L13" s="9" t="n">
        <f aca="false">IF(F13&gt;Inputs!$C$8,1,0)</f>
        <v>0</v>
      </c>
      <c r="M13" s="17" t="n">
        <f aca="false">IFERROR((AK13/AD13)/(BD13/AW13),1)</f>
        <v>0.897877892541012</v>
      </c>
      <c r="N13" s="17" t="n">
        <f aca="false">IFERROR(((AW13-AX13)/AW13)/((AD13-AE13)/AD13),1)</f>
        <v>0.936912874687627</v>
      </c>
      <c r="O13" s="17" t="n">
        <f aca="false">IFERROR((1-(AM13+AO13)/AN13)/(1-(BF13+BH13)/BG13),1)</f>
        <v>0.863726707137982</v>
      </c>
      <c r="P13" s="17" t="n">
        <f aca="false">IFERROR(AD13/AW13,1)</f>
        <v>1.35561960416198</v>
      </c>
      <c r="Q13" s="17" t="n">
        <f aca="false">IFERROR((AZ13/(AZ13+BH13))/(AG13/(AG13+AO13)),1)</f>
        <v>1.0100902173801</v>
      </c>
      <c r="R13" s="17" t="n">
        <f aca="false">IFERROR((AF13/AD13)/(AY13/AW13),1)</f>
        <v>0.871832199552148</v>
      </c>
      <c r="S13" s="17" t="n">
        <f aca="false">IFERROR((AH13-AI13)/AN13,0)</f>
        <v>0.0921806400051615</v>
      </c>
      <c r="T13" s="17" t="n">
        <f aca="false">IFERROR(((AS13+N(AU13))/AN13)/((BL13+N(BN13))/BG13),1)</f>
        <v>0.948927092127733</v>
      </c>
      <c r="U13" s="17" t="n">
        <f aca="false">IFERROR((((AM13-AP13-N(AQ13))-(AS13-N(AV13))+(AN13-AM13-N(AR13))-(AT13-AS13-N(AU13))+(N(AQ13)+N(AR13))-(N(AU13)+N(AV13)))-((BF13-BI13-N(BJ13))-(BL13-N(BO13))+(BG13-BF13-N(BK13))-(BM13-BL13-N(BN13))+(N(BJ13)+N(BK13))-(N(BN13)+N(BO13))))/((AN13+BG13)/2),0)</f>
        <v>0.158554299089338</v>
      </c>
      <c r="V13" s="17" t="n">
        <f aca="false">IFERROR((AK13-BD13)/((AN13+BG13)/2),0)</f>
        <v>0.0461968493171495</v>
      </c>
      <c r="W13" s="17" t="n">
        <f aca="false">IFERROR((N(AL13)-N(BE13))/((AN13+BG13)/2),0)</f>
        <v>0.15809855904346</v>
      </c>
      <c r="X13" s="17" t="n">
        <f aca="false">IFERROR((AN13-N(AO13)-AP13)/AN13,0)</f>
        <v>0.726755820475545</v>
      </c>
      <c r="Y13" s="17" t="n">
        <f aca="false">IF(COUNT(BP13,BQ13,BR13,BS13)=4,IFERROR((AD13-(AK13-BD13))/(AW13-(BD13-BP13))-1,0),0)</f>
        <v>0.387408903368242</v>
      </c>
      <c r="Z13" s="17" t="n">
        <f aca="false">IF(COUNT(BP13,BQ13,BR13,BS13)=4,IFERROR(AH13/((AN13+BG13)/2)-BA13/((BG13+BR13)/2),0),0)</f>
        <v>0.0394018566894298</v>
      </c>
      <c r="AA13" s="9" t="n">
        <f aca="false">IF(N(AJ13)&gt;0,1,0)</f>
        <v>0</v>
      </c>
      <c r="AB13" s="17" t="n">
        <f aca="false">Inputs!$C$24+Inputs!$C$25*U13+Inputs!$C$26*V13+Inputs!$C$27*W13+Inputs!$C$28*X13+Inputs!$C$29*Y13+Inputs!$C$30*Z13+Inputs!$C$31*AA13</f>
        <v>-5.99534889255556</v>
      </c>
      <c r="AD13" s="30" t="n">
        <v>1845.63</v>
      </c>
      <c r="AE13" s="30" t="n">
        <v>1548.768</v>
      </c>
      <c r="AF13" s="30" t="n">
        <v>68.824</v>
      </c>
      <c r="AG13" s="30" t="n">
        <v>7.704</v>
      </c>
      <c r="AH13" s="30" t="n">
        <v>91.71</v>
      </c>
      <c r="AI13" s="30" t="n">
        <v>3.128</v>
      </c>
      <c r="AJ13" s="30" t="s">
        <v>185</v>
      </c>
      <c r="AK13" s="30" t="n">
        <v>221.561</v>
      </c>
      <c r="AL13" s="30" t="n">
        <v>430.382</v>
      </c>
      <c r="AM13" s="30" t="n">
        <v>795.252</v>
      </c>
      <c r="AN13" s="30" t="n">
        <v>960.961</v>
      </c>
      <c r="AO13" s="30" t="n">
        <v>153.332</v>
      </c>
      <c r="AP13" s="30" t="n">
        <v>109.245</v>
      </c>
      <c r="AQ13" s="30" t="s">
        <v>185</v>
      </c>
      <c r="AR13" s="30" t="n">
        <v>2.647</v>
      </c>
      <c r="AS13" s="30" t="n">
        <v>359.167</v>
      </c>
      <c r="AT13" s="30" t="n">
        <v>375.208</v>
      </c>
      <c r="AU13" s="30" t="n">
        <v>1.633</v>
      </c>
      <c r="AV13" s="30" t="n">
        <v>44.836</v>
      </c>
      <c r="AW13" s="30" t="n">
        <v>1361.466</v>
      </c>
      <c r="AX13" s="30" t="n">
        <v>1156.295</v>
      </c>
      <c r="AY13" s="30" t="n">
        <v>58.233</v>
      </c>
      <c r="AZ13" s="30" t="n">
        <v>6.525</v>
      </c>
      <c r="BA13" s="30" t="n">
        <v>46.034</v>
      </c>
      <c r="BB13" s="30" t="n">
        <v>12.488</v>
      </c>
      <c r="BC13" s="30" t="s">
        <v>185</v>
      </c>
      <c r="BD13" s="30" t="n">
        <v>182.028</v>
      </c>
      <c r="BE13" s="30" t="n">
        <v>295.089</v>
      </c>
      <c r="BF13" s="30" t="n">
        <v>610.845</v>
      </c>
      <c r="BG13" s="30" t="n">
        <v>750.541</v>
      </c>
      <c r="BH13" s="30" t="n">
        <v>128.504</v>
      </c>
      <c r="BI13" s="30" t="n">
        <v>101.714</v>
      </c>
      <c r="BJ13" s="30" t="s">
        <v>185</v>
      </c>
      <c r="BK13" s="30" t="n">
        <v>2.637</v>
      </c>
      <c r="BL13" s="30" t="n">
        <v>292.53</v>
      </c>
      <c r="BM13" s="30" t="n">
        <v>308.002</v>
      </c>
      <c r="BN13" s="30" t="n">
        <v>4.433</v>
      </c>
      <c r="BO13" s="30" t="n">
        <v>42.13</v>
      </c>
      <c r="BP13" s="30" t="n">
        <v>122.339</v>
      </c>
      <c r="BQ13" s="30" t="n">
        <v>1116.124</v>
      </c>
      <c r="BR13" s="30" t="n">
        <v>608.052</v>
      </c>
      <c r="BS13" s="30" t="n">
        <v>18.363</v>
      </c>
    </row>
    <row r="14" customFormat="false" ht="15" hidden="false" customHeight="false" outlineLevel="0" collapsed="false">
      <c r="B14" s="24" t="n">
        <v>42185</v>
      </c>
      <c r="C14" s="24" t="n">
        <v>42257</v>
      </c>
      <c r="D14" s="25" t="s">
        <v>184</v>
      </c>
      <c r="E14" s="26" t="n">
        <f aca="false">Inputs!$C$13+Inputs!$C$14*M14+Inputs!$C$15*N14+Inputs!$C$16*O14+Inputs!$C$17*P14+Inputs!$C$18*Q14+Inputs!$C$19*R14+Inputs!$C$20*S14+Inputs!$C$21*T14</f>
        <v>-1.54004374399483</v>
      </c>
      <c r="F14" s="26" t="n">
        <f aca="false">EXP(AB14)/(1+EXP(AB14))/Inputs!$C$32</f>
        <v>2.38893607491108</v>
      </c>
      <c r="G14" s="27" t="n">
        <f aca="false">IFERROR((AH14-AI14)/((AN14+BG14)/2),"n/a")</f>
        <v>0.155343151653064</v>
      </c>
      <c r="H14" s="28" t="n">
        <f aca="false">IFERROR(AI14/AH14,"n/a")</f>
        <v>-0.438196401048467</v>
      </c>
      <c r="I14" s="29" t="n">
        <f aca="false">IFERROR(AK14/AD14*365,"n/a")</f>
        <v>59.1349292244953</v>
      </c>
      <c r="J14" s="29" t="n">
        <f aca="false">IFERROR(N(AL14)/AE14*365,"n/a")</f>
        <v>101.246343340571</v>
      </c>
      <c r="K14" s="9" t="n">
        <f aca="false">IF(E14&gt;Inputs!$C$7,1,0)</f>
        <v>1</v>
      </c>
      <c r="L14" s="9" t="n">
        <f aca="false">IF(F14&gt;Inputs!$C$8,1,0)</f>
        <v>1</v>
      </c>
      <c r="M14" s="17" t="n">
        <f aca="false">IFERROR((AK14/AD14)/(BD14/AW14),1)</f>
        <v>1.1173675514436</v>
      </c>
      <c r="N14" s="17" t="n">
        <f aca="false">IFERROR(((AW14-AX14)/AW14)/((AD14-AE14)/AD14),1)</f>
        <v>0.955839537259414</v>
      </c>
      <c r="O14" s="17" t="n">
        <f aca="false">IFERROR((1-(AM14+AO14)/AN14)/(1-(BF14+BH14)/BG14),1)</f>
        <v>0.774650101146767</v>
      </c>
      <c r="P14" s="17" t="n">
        <f aca="false">IFERROR(AD14/AW14,1)</f>
        <v>1.35711033654534</v>
      </c>
      <c r="Q14" s="17" t="n">
        <f aca="false">IFERROR((AZ14/(AZ14+BH14))/(AG14/(AG14+AO14)),1)</f>
        <v>0.97799815725391</v>
      </c>
      <c r="R14" s="17" t="n">
        <f aca="false">IFERROR((AF14/AD14)/(AY14/AW14),1)</f>
        <v>0.884149612046962</v>
      </c>
      <c r="S14" s="17" t="n">
        <f aca="false">IFERROR((AH14-AI14)/AN14,0)</f>
        <v>0.134426307729153</v>
      </c>
      <c r="T14" s="17" t="n">
        <f aca="false">IFERROR(((AS14+N(AU14))/AN14)/((BL14+N(BN14))/BG14),1)</f>
        <v>1.056828675029</v>
      </c>
      <c r="U14" s="17" t="n">
        <f aca="false">IFERROR((((AM14-AP14-N(AQ14))-(AS14-N(AV14))+(AN14-AM14-N(AR14))-(AT14-AS14-N(AU14))+(N(AQ14)+N(AR14))-(N(AU14)+N(AV14)))-((BF14-BI14-N(BJ14))-(BL14-N(BO14))+(BG14-BF14-N(BK14))-(BM14-BL14-N(BN14))+(N(BJ14)+N(BK14))-(N(BN14)+N(BO14))))/((AN14+BG14)/2),0)</f>
        <v>0.160417022332453</v>
      </c>
      <c r="V14" s="17" t="n">
        <f aca="false">IFERROR((AK14-BD14)/((AN14+BG14)/2),0)</f>
        <v>0.116488011986423</v>
      </c>
      <c r="W14" s="17" t="n">
        <f aca="false">IFERROR((N(AL14)-N(BE14))/((AN14+BG14)/2),0)</f>
        <v>0.15656999979853</v>
      </c>
      <c r="X14" s="17" t="n">
        <f aca="false">IFERROR((AN14-N(AO14)-AP14)/AN14,0)</f>
        <v>0.762820824566507</v>
      </c>
      <c r="Y14" s="17" t="n">
        <f aca="false">IF(COUNT(BP14,BQ14,BR14,BS14)=4,IFERROR((AD14-(AK14-BD14))/(AW14-(BD14-BP14))-1,0),0)</f>
        <v>0.340143638285687</v>
      </c>
      <c r="Z14" s="17" t="n">
        <f aca="false">IF(COUNT(BP14,BQ14,BR14,BS14)=4,IFERROR(AH14/((AN14+BG14)/2)-BA14/((BG14+BR14)/2),0),0)</f>
        <v>0.0321932352556121</v>
      </c>
      <c r="AA14" s="9" t="n">
        <f aca="false">IF(N(AJ14)&gt;0,1,0)</f>
        <v>1</v>
      </c>
      <c r="AB14" s="17" t="n">
        <f aca="false">Inputs!$C$24+Inputs!$C$25*U14+Inputs!$C$26*V14+Inputs!$C$27*W14+Inputs!$C$28*X14+Inputs!$C$29*Y14+Inputs!$C$30*Z14+Inputs!$C$31*AA14</f>
        <v>-4.71969598970976</v>
      </c>
      <c r="AD14" s="30" t="n">
        <v>1991.155</v>
      </c>
      <c r="AE14" s="30" t="n">
        <v>1670.924</v>
      </c>
      <c r="AF14" s="30" t="n">
        <v>73.228</v>
      </c>
      <c r="AG14" s="30" t="n">
        <v>8.133</v>
      </c>
      <c r="AH14" s="30" t="n">
        <v>101.863</v>
      </c>
      <c r="AI14" s="30" t="n">
        <v>-44.636</v>
      </c>
      <c r="AJ14" s="30" t="n">
        <v>84.9</v>
      </c>
      <c r="AK14" s="30" t="n">
        <v>322.594</v>
      </c>
      <c r="AL14" s="30" t="n">
        <v>463.493</v>
      </c>
      <c r="AM14" s="30" t="n">
        <v>914.415</v>
      </c>
      <c r="AN14" s="30" t="n">
        <v>1089.809</v>
      </c>
      <c r="AO14" s="30" t="n">
        <v>163.038</v>
      </c>
      <c r="AP14" s="30" t="n">
        <v>95.442</v>
      </c>
      <c r="AQ14" s="30" t="s">
        <v>185</v>
      </c>
      <c r="AR14" s="30" t="n">
        <v>2.633</v>
      </c>
      <c r="AS14" s="30" t="n">
        <v>454.107</v>
      </c>
      <c r="AT14" s="30" t="n">
        <v>470.724</v>
      </c>
      <c r="AU14" s="30" t="n">
        <v>0.933</v>
      </c>
      <c r="AV14" s="30" t="n">
        <v>93.479</v>
      </c>
      <c r="AW14" s="30" t="n">
        <v>1467.202</v>
      </c>
      <c r="AX14" s="30" t="n">
        <v>1241.657</v>
      </c>
      <c r="AY14" s="30" t="n">
        <v>61.029</v>
      </c>
      <c r="AZ14" s="30" t="n">
        <v>6.364</v>
      </c>
      <c r="BA14" s="30" t="n">
        <v>54.157</v>
      </c>
      <c r="BB14" s="30" t="n">
        <v>6.538</v>
      </c>
      <c r="BC14" s="30" t="n">
        <v>17.354</v>
      </c>
      <c r="BD14" s="30" t="n">
        <v>212.738</v>
      </c>
      <c r="BE14" s="30" t="n">
        <v>315.837</v>
      </c>
      <c r="BF14" s="30" t="n">
        <v>654.081</v>
      </c>
      <c r="BG14" s="30" t="n">
        <v>796.325</v>
      </c>
      <c r="BH14" s="30" t="n">
        <v>130.589</v>
      </c>
      <c r="BI14" s="30" t="n">
        <v>96.872</v>
      </c>
      <c r="BJ14" s="30" t="s">
        <v>185</v>
      </c>
      <c r="BK14" s="30" t="n">
        <v>2.647</v>
      </c>
      <c r="BL14" s="30" t="n">
        <v>310.886</v>
      </c>
      <c r="BM14" s="30" t="n">
        <v>327.094</v>
      </c>
      <c r="BN14" s="30" t="n">
        <v>3.733</v>
      </c>
      <c r="BO14" s="30" t="n">
        <v>42.554</v>
      </c>
      <c r="BP14" s="30" t="n">
        <v>149.34</v>
      </c>
      <c r="BQ14" s="30" t="n">
        <v>1162.561</v>
      </c>
      <c r="BR14" s="30" t="n">
        <v>632.257</v>
      </c>
      <c r="BS14" s="30" t="n">
        <v>21.279</v>
      </c>
    </row>
    <row r="15" customFormat="false" ht="15" hidden="false" customHeight="false" outlineLevel="0" collapsed="false">
      <c r="B15" s="24" t="n">
        <v>42277</v>
      </c>
      <c r="C15" s="24" t="n">
        <v>42324</v>
      </c>
      <c r="D15" s="25" t="s">
        <v>184</v>
      </c>
      <c r="E15" s="26" t="n">
        <f aca="false">Inputs!$C$13+Inputs!$C$14*M15+Inputs!$C$15*N15+Inputs!$C$16*O15+Inputs!$C$17*P15+Inputs!$C$18*Q15+Inputs!$C$19*R15+Inputs!$C$20*S15+Inputs!$C$21*T15</f>
        <v>-1.3881632375898</v>
      </c>
      <c r="F15" s="26" t="n">
        <f aca="false">EXP(AB15)/(1+EXP(AB15))/Inputs!$C$32</f>
        <v>2.17190291261203</v>
      </c>
      <c r="G15" s="27" t="n">
        <f aca="false">IFERROR((AH15-AI15)/((AN15+BG15)/2),"n/a")</f>
        <v>0.152937136371869</v>
      </c>
      <c r="H15" s="28" t="n">
        <f aca="false">IFERROR(AI15/AH15,"n/a")</f>
        <v>-0.542518928394175</v>
      </c>
      <c r="I15" s="29" t="n">
        <f aca="false">IFERROR(AK15/AD15*365,"n/a")</f>
        <v>52.4479032393029</v>
      </c>
      <c r="J15" s="29" t="n">
        <f aca="false">IFERROR(N(AL15)/AE15*365,"n/a")</f>
        <v>96.5489095848063</v>
      </c>
      <c r="K15" s="9" t="n">
        <f aca="false">IF(E15&gt;Inputs!$C$7,1,0)</f>
        <v>1</v>
      </c>
      <c r="L15" s="9" t="n">
        <f aca="false">IF(F15&gt;Inputs!$C$8,1,0)</f>
        <v>1</v>
      </c>
      <c r="M15" s="17" t="n">
        <f aca="false">IFERROR((AK15/AD15)/(BD15/AW15),1)</f>
        <v>1.18395485831597</v>
      </c>
      <c r="N15" s="17" t="n">
        <f aca="false">IFERROR(((AW15-AX15)/AW15)/((AD15-AE15)/AD15),1)</f>
        <v>0.990194831532085</v>
      </c>
      <c r="O15" s="17" t="n">
        <f aca="false">IFERROR((1-(AM15+AO15)/AN15)/(1-(BF15+BH15)/BG15),1)</f>
        <v>1.10562301659167</v>
      </c>
      <c r="P15" s="17" t="n">
        <f aca="false">IFERROR(AD15/AW15,1)</f>
        <v>1.29094016389553</v>
      </c>
      <c r="Q15" s="17" t="n">
        <f aca="false">IFERROR((AZ15/(AZ15+BH15))/(AG15/(AG15+AO15)),1)</f>
        <v>0.960824163786997</v>
      </c>
      <c r="R15" s="17" t="n">
        <f aca="false">IFERROR((AF15/AD15)/(AY15/AW15),1)</f>
        <v>0.985636295908921</v>
      </c>
      <c r="S15" s="17" t="n">
        <f aca="false">IFERROR((AH15-AI15)/AN15,0)</f>
        <v>0.135006243143402</v>
      </c>
      <c r="T15" s="17" t="n">
        <f aca="false">IFERROR(((AS15+N(AU15))/AN15)/((BL15+N(BN15))/BG15),1)</f>
        <v>1.01246009417257</v>
      </c>
      <c r="U15" s="17" t="n">
        <f aca="false">IFERROR((((AM15-AP15-N(AQ15))-(AS15-N(AV15))+(AN15-AM15-N(AR15))-(AT15-AS15-N(AU15))+(N(AQ15)+N(AR15))-(N(AU15)+N(AV15)))-((BF15-BI15-N(BJ15))-(BL15-N(BO15))+(BG15-BF15-N(BK15))-(BM15-BL15-N(BN15))+(N(BJ15)+N(BK15))-(N(BN15)+N(BO15))))/((AN15+BG15)/2),0)</f>
        <v>0.15312873312666</v>
      </c>
      <c r="V15" s="17" t="n">
        <f aca="false">IFERROR((AK15-BD15)/((AN15+BG15)/2),0)</f>
        <v>0.107532893393681</v>
      </c>
      <c r="W15" s="17" t="n">
        <f aca="false">IFERROR((N(AL15)-N(BE15))/((AN15+BG15)/2),0)</f>
        <v>0.125459230199836</v>
      </c>
      <c r="X15" s="17" t="n">
        <f aca="false">IFERROR((AN15-N(AO15)-AP15)/AN15,0)</f>
        <v>0.74117711210948</v>
      </c>
      <c r="Y15" s="17" t="n">
        <f aca="false">IF(COUNT(BP15,BQ15,BR15,BS15)=4,IFERROR((AD15-(AK15-BD15))/(AW15-(BD15-BP15))-1,0),0)</f>
        <v>0.274818744428021</v>
      </c>
      <c r="Z15" s="17" t="n">
        <f aca="false">IF(COUNT(BP15,BQ15,BR15,BS15)=4,IFERROR(AH15/((AN15+BG15)/2)-BA15/((BG15+BR15)/2),0),0)</f>
        <v>0.00718372540046255</v>
      </c>
      <c r="AA15" s="9" t="n">
        <f aca="false">IF(N(AJ15)&gt;0,1,0)</f>
        <v>1</v>
      </c>
      <c r="AB15" s="17" t="n">
        <f aca="false">Inputs!$C$24+Inputs!$C$25*U15+Inputs!$C$26*V15+Inputs!$C$27*W15+Inputs!$C$28*X15+Inputs!$C$29*Y15+Inputs!$C$30*Z15+Inputs!$C$31*AA15</f>
        <v>-4.81575025400802</v>
      </c>
      <c r="AD15" s="30" t="n">
        <v>2067.451</v>
      </c>
      <c r="AE15" s="30" t="n">
        <v>1744.198</v>
      </c>
      <c r="AF15" s="30" t="n">
        <v>79.619</v>
      </c>
      <c r="AG15" s="30" t="n">
        <v>9.039</v>
      </c>
      <c r="AH15" s="30" t="n">
        <v>94.699</v>
      </c>
      <c r="AI15" s="30" t="n">
        <v>-51.376</v>
      </c>
      <c r="AJ15" s="30" t="n">
        <v>89.6</v>
      </c>
      <c r="AK15" s="30" t="n">
        <v>297.078</v>
      </c>
      <c r="AL15" s="30" t="n">
        <v>461.371</v>
      </c>
      <c r="AM15" s="30" t="n">
        <v>898.242</v>
      </c>
      <c r="AN15" s="30" t="n">
        <v>1081.987</v>
      </c>
      <c r="AO15" s="30" t="n">
        <v>169.149</v>
      </c>
      <c r="AP15" s="30" t="n">
        <v>110.894</v>
      </c>
      <c r="AQ15" s="30" t="s">
        <v>185</v>
      </c>
      <c r="AR15" s="30" t="n">
        <v>2.633</v>
      </c>
      <c r="AS15" s="30" t="n">
        <v>419.011</v>
      </c>
      <c r="AT15" s="30" t="n">
        <v>443.873</v>
      </c>
      <c r="AU15" s="30" t="n">
        <v>0.233</v>
      </c>
      <c r="AV15" s="30" t="n">
        <v>94.574</v>
      </c>
      <c r="AW15" s="30" t="n">
        <v>1601.508</v>
      </c>
      <c r="AX15" s="30" t="n">
        <v>1353.562</v>
      </c>
      <c r="AY15" s="30" t="n">
        <v>62.574</v>
      </c>
      <c r="AZ15" s="30" t="n">
        <v>6.818</v>
      </c>
      <c r="BA15" s="30" t="n">
        <v>67.321</v>
      </c>
      <c r="BB15" s="30" t="n">
        <v>15.277</v>
      </c>
      <c r="BC15" s="30" t="s">
        <v>185</v>
      </c>
      <c r="BD15" s="30" t="n">
        <v>194.37</v>
      </c>
      <c r="BE15" s="30" t="n">
        <v>341.541</v>
      </c>
      <c r="BF15" s="30" t="n">
        <v>685.102</v>
      </c>
      <c r="BG15" s="30" t="n">
        <v>828.275</v>
      </c>
      <c r="BH15" s="30" t="n">
        <v>133.067</v>
      </c>
      <c r="BI15" s="30" t="n">
        <v>117.512</v>
      </c>
      <c r="BJ15" s="30" t="s">
        <v>185</v>
      </c>
      <c r="BK15" s="30" t="n">
        <v>2.647</v>
      </c>
      <c r="BL15" s="30" t="n">
        <v>313.954</v>
      </c>
      <c r="BM15" s="30" t="n">
        <v>329.801</v>
      </c>
      <c r="BN15" s="30" t="n">
        <v>3.033</v>
      </c>
      <c r="BO15" s="30" t="n">
        <v>34.446</v>
      </c>
      <c r="BP15" s="30" t="n">
        <v>134.056</v>
      </c>
      <c r="BQ15" s="30" t="n">
        <v>1200.87</v>
      </c>
      <c r="BR15" s="30" t="n">
        <v>635.799</v>
      </c>
      <c r="BS15" s="30" t="n">
        <v>28.079</v>
      </c>
    </row>
    <row r="16" customFormat="false" ht="15" hidden="false" customHeight="false" outlineLevel="0" collapsed="false">
      <c r="B16" s="24" t="n">
        <v>42369</v>
      </c>
      <c r="C16" s="24" t="n">
        <v>42404</v>
      </c>
      <c r="D16" s="25" t="s">
        <v>184</v>
      </c>
      <c r="E16" s="26" t="n">
        <f aca="false">Inputs!$C$13+Inputs!$C$14*M16+Inputs!$C$15*N16+Inputs!$C$16*O16+Inputs!$C$17*P16+Inputs!$C$18*Q16+Inputs!$C$19*R16+Inputs!$C$20*S16+Inputs!$C$21*T16</f>
        <v>-1.94035185787314</v>
      </c>
      <c r="F16" s="26" t="n">
        <f aca="false">EXP(AB16)/(1+EXP(AB16))/Inputs!$C$32</f>
        <v>1.57380795110368</v>
      </c>
      <c r="G16" s="27" t="n">
        <f aca="false">IFERROR((AH16-AI16)/((AN16+BG16)/2),"n/a")</f>
        <v>0.0443422151555756</v>
      </c>
      <c r="H16" s="28" t="n">
        <f aca="false">IFERROR(AI16/AH16,"n/a")</f>
        <v>0.519358914270577</v>
      </c>
      <c r="I16" s="29" t="n">
        <f aca="false">IFERROR(AK16/AD16*365,"n/a")</f>
        <v>52.0441989451761</v>
      </c>
      <c r="J16" s="29" t="n">
        <f aca="false">IFERROR(N(AL16)/AE16*365,"n/a")</f>
        <v>95.5656998726751</v>
      </c>
      <c r="K16" s="9" t="n">
        <f aca="false">IF(E16&gt;Inputs!$C$7,1,0)</f>
        <v>0</v>
      </c>
      <c r="L16" s="9" t="n">
        <f aca="false">IF(F16&gt;Inputs!$C$8,1,0)</f>
        <v>0</v>
      </c>
      <c r="M16" s="17" t="n">
        <f aca="false">IFERROR((AK16/AD16)/(BD16/AW16),1)</f>
        <v>0.963214964783653</v>
      </c>
      <c r="N16" s="17" t="n">
        <f aca="false">IFERROR(((AW16-AX16)/AW16)/((AD16-AE16)/AD16),1)</f>
        <v>1.01262208440782</v>
      </c>
      <c r="O16" s="17" t="n">
        <f aca="false">IFERROR((1-(AM16+AO16)/AN16)/(1-(BF16+BH16)/BG16),1)</f>
        <v>1.45895710264558</v>
      </c>
      <c r="P16" s="17" t="n">
        <f aca="false">IFERROR(AD16/AW16,1)</f>
        <v>1.26041151839649</v>
      </c>
      <c r="Q16" s="17" t="n">
        <f aca="false">IFERROR((AZ16/(AZ16+BH16))/(AG16/(AG16+AO16)),1)</f>
        <v>0.870681825525721</v>
      </c>
      <c r="R16" s="17" t="n">
        <f aca="false">IFERROR((AF16/AD16)/(AY16/AW16),1)</f>
        <v>1.11799580890801</v>
      </c>
      <c r="S16" s="17" t="n">
        <f aca="false">IFERROR((AH16-AI16)/AN16,0)</f>
        <v>0.0395534940191408</v>
      </c>
      <c r="T16" s="17" t="n">
        <f aca="false">IFERROR(((AS16+N(AU16))/AN16)/((BL16+N(BN16))/BG16),1)</f>
        <v>1.00239681724388</v>
      </c>
      <c r="U16" s="17" t="n">
        <f aca="false">IFERROR((((AM16-AP16-N(AQ16))-(AS16-N(AV16))+(AN16-AM16-N(AR16))-(AT16-AS16-N(AU16))+(N(AQ16)+N(AR16))-(N(AU16)+N(AV16)))-((BF16-BI16-N(BJ16))-(BL16-N(BO16))+(BG16-BF16-N(BK16))-(BM16-BL16-N(BN16))+(N(BJ16)+N(BK16))-(N(BN16)+N(BO16))))/((AN16+BG16)/2),0)</f>
        <v>0.0434605032056057</v>
      </c>
      <c r="V16" s="17" t="n">
        <f aca="false">IFERROR((AK16-BD16)/((AN16+BG16)/2),0)</f>
        <v>0.0520680046191178</v>
      </c>
      <c r="W16" s="17" t="n">
        <f aca="false">IFERROR((N(AL16)-N(BE16))/((AN16+BG16)/2),0)</f>
        <v>0.0726857763788617</v>
      </c>
      <c r="X16" s="17" t="n">
        <f aca="false">IFERROR((AN16-N(AO16)-AP16)/AN16,0)</f>
        <v>0.712331822397073</v>
      </c>
      <c r="Y16" s="17" t="n">
        <f aca="false">IF(COUNT(BP16,BQ16,BR16,BS16)=4,IFERROR((AD16-(AK16-BD16))/(AW16-(BD16-BP16))-1,0),0)</f>
        <v>0.301389839750386</v>
      </c>
      <c r="Z16" s="17" t="n">
        <f aca="false">IF(COUNT(BP16,BQ16,BR16,BS16)=4,IFERROR(AH16/((AN16+BG16)/2)-BA16/((BG16+BR16)/2),0),0)</f>
        <v>-0.0114416820832652</v>
      </c>
      <c r="AA16" s="9" t="n">
        <f aca="false">IF(N(AJ16)&gt;0,1,0)</f>
        <v>1</v>
      </c>
      <c r="AB16" s="17" t="n">
        <f aca="false">Inputs!$C$24+Inputs!$C$25*U16+Inputs!$C$26*V16+Inputs!$C$27*W16+Inputs!$C$28*X16+Inputs!$C$29*Y16+Inputs!$C$30*Z16+Inputs!$C$31*AA16</f>
        <v>-5.14008422034668</v>
      </c>
      <c r="AD16" s="30" t="n">
        <v>2203.401</v>
      </c>
      <c r="AE16" s="30" t="n">
        <v>1858.238</v>
      </c>
      <c r="AF16" s="30" t="n">
        <v>90.489</v>
      </c>
      <c r="AG16" s="30" t="n">
        <v>10.241</v>
      </c>
      <c r="AH16" s="30" t="n">
        <v>98.146</v>
      </c>
      <c r="AI16" s="30" t="n">
        <v>50.973</v>
      </c>
      <c r="AJ16" s="30" t="n">
        <v>94.1</v>
      </c>
      <c r="AK16" s="30" t="n">
        <v>314.176</v>
      </c>
      <c r="AL16" s="30" t="n">
        <v>486.531</v>
      </c>
      <c r="AM16" s="30" t="n">
        <v>999.648</v>
      </c>
      <c r="AN16" s="30" t="n">
        <v>1192.638</v>
      </c>
      <c r="AO16" s="30" t="n">
        <v>173.192</v>
      </c>
      <c r="AP16" s="30" t="n">
        <v>169.892</v>
      </c>
      <c r="AQ16" s="30" t="s">
        <v>185</v>
      </c>
      <c r="AR16" s="30" t="n">
        <v>2.633</v>
      </c>
      <c r="AS16" s="30" t="n">
        <v>480.052</v>
      </c>
      <c r="AT16" s="30" t="n">
        <v>514.49</v>
      </c>
      <c r="AU16" s="30" t="n">
        <v>0</v>
      </c>
      <c r="AV16" s="30" t="n">
        <v>94.233</v>
      </c>
      <c r="AW16" s="30" t="n">
        <v>1748.16</v>
      </c>
      <c r="AX16" s="30" t="n">
        <v>1470.854</v>
      </c>
      <c r="AY16" s="30" t="n">
        <v>64.216</v>
      </c>
      <c r="AZ16" s="30" t="n">
        <v>7.289</v>
      </c>
      <c r="BA16" s="30" t="n">
        <v>85.228</v>
      </c>
      <c r="BB16" s="30" t="n">
        <v>-20.544</v>
      </c>
      <c r="BC16" s="30" t="s">
        <v>185</v>
      </c>
      <c r="BD16" s="30" t="n">
        <v>258.784</v>
      </c>
      <c r="BE16" s="30" t="n">
        <v>409.205</v>
      </c>
      <c r="BF16" s="30" t="n">
        <v>781.742</v>
      </c>
      <c r="BG16" s="30" t="n">
        <v>935.041</v>
      </c>
      <c r="BH16" s="30" t="n">
        <v>142.66</v>
      </c>
      <c r="BI16" s="30" t="n">
        <v>83.201</v>
      </c>
      <c r="BJ16" s="30" t="s">
        <v>185</v>
      </c>
      <c r="BK16" s="30" t="n">
        <v>2.647</v>
      </c>
      <c r="BL16" s="30" t="n">
        <v>373.133</v>
      </c>
      <c r="BM16" s="30" t="n">
        <v>389.819</v>
      </c>
      <c r="BN16" s="30" t="n">
        <v>2.333</v>
      </c>
      <c r="BO16" s="30" t="n">
        <v>33.459</v>
      </c>
      <c r="BP16" s="30" t="n">
        <v>161.174</v>
      </c>
      <c r="BQ16" s="30" t="n">
        <v>1265.745</v>
      </c>
      <c r="BR16" s="30" t="n">
        <v>708.731</v>
      </c>
      <c r="BS16" s="30" t="n">
        <v>36.5</v>
      </c>
    </row>
    <row r="17" customFormat="false" ht="15" hidden="false" customHeight="false" outlineLevel="0" collapsed="false">
      <c r="B17" s="24" t="n">
        <v>42460</v>
      </c>
      <c r="C17" s="24" t="n">
        <v>42496</v>
      </c>
      <c r="D17" s="25" t="s">
        <v>184</v>
      </c>
      <c r="E17" s="26" t="n">
        <f aca="false">Inputs!$C$13+Inputs!$C$14*M17+Inputs!$C$15*N17+Inputs!$C$16*O17+Inputs!$C$17*P17+Inputs!$C$18*Q17+Inputs!$C$19*R17+Inputs!$C$20*S17+Inputs!$C$21*T17</f>
        <v>-1.9641547888838</v>
      </c>
      <c r="F17" s="26" t="n">
        <f aca="false">EXP(AB17)/(1+EXP(AB17))/Inputs!$C$32</f>
        <v>1.5161992918994</v>
      </c>
      <c r="G17" s="27" t="n">
        <f aca="false">IFERROR((AH17-AI17)/((AN17+BG17)/2),"n/a")</f>
        <v>0.0491355574083808</v>
      </c>
      <c r="H17" s="28" t="n">
        <f aca="false">IFERROR(AI17/AH17,"n/a")</f>
        <v>0.426432121370651</v>
      </c>
      <c r="I17" s="29" t="n">
        <f aca="false">IFERROR(AK17/AD17*365,"n/a")</f>
        <v>46.042855370465</v>
      </c>
      <c r="J17" s="29" t="n">
        <f aca="false">IFERROR(N(AL17)/AE17*365,"n/a")</f>
        <v>91.2358180496318</v>
      </c>
      <c r="K17" s="9" t="n">
        <f aca="false">IF(E17&gt;Inputs!$C$7,1,0)</f>
        <v>0</v>
      </c>
      <c r="L17" s="9" t="n">
        <f aca="false">IF(F17&gt;Inputs!$C$8,1,0)</f>
        <v>0</v>
      </c>
      <c r="M17" s="17" t="n">
        <f aca="false">IFERROR((AK17/AD17)/(BD17/AW17),1)</f>
        <v>1.05080155924023</v>
      </c>
      <c r="N17" s="17" t="n">
        <f aca="false">IFERROR(((AW17-AX17)/AW17)/((AD17-AE17)/AD17),1)</f>
        <v>1.04835860594126</v>
      </c>
      <c r="O17" s="17" t="n">
        <f aca="false">IFERROR((1-(AM17+AO17)/AN17)/(1-(BF17+BH17)/BG17),1)</f>
        <v>1.1753479017443</v>
      </c>
      <c r="P17" s="17" t="n">
        <f aca="false">IFERROR(AD17/AW17,1)</f>
        <v>1.22716741708793</v>
      </c>
      <c r="Q17" s="17" t="n">
        <f aca="false">IFERROR((AZ17/(AZ17+BH17))/(AG17/(AG17+AO17)),1)</f>
        <v>0.779733480208453</v>
      </c>
      <c r="R17" s="17" t="n">
        <f aca="false">IFERROR((AF17/AD17)/(AY17/AW17),1)</f>
        <v>1.11427413050561</v>
      </c>
      <c r="S17" s="17" t="n">
        <f aca="false">IFERROR((AH17-AI17)/AN17,0)</f>
        <v>0.0445562786964499</v>
      </c>
      <c r="T17" s="17" t="n">
        <f aca="false">IFERROR(((AS17+N(AU17))/AN17)/((BL17+N(BN17))/BG17),1)</f>
        <v>0.979793527420883</v>
      </c>
      <c r="U17" s="17" t="n">
        <f aca="false">IFERROR((((AM17-AP17-N(AQ17))-(AS17-N(AV17))+(AN17-AM17-N(AR17))-(AT17-AS17-N(AU17))+(N(AQ17)+N(AR17))-(N(AU17)+N(AV17)))-((BF17-BI17-N(BJ17))-(BL17-N(BO17))+(BG17-BF17-N(BK17))-(BM17-BL17-N(BN17))+(N(BJ17)+N(BK17))-(N(BN17)+N(BO17))))/((AN17+BG17)/2),0)</f>
        <v>0.0523670050614497</v>
      </c>
      <c r="V17" s="17" t="n">
        <f aca="false">IFERROR((AK17-BD17)/((AN17+BG17)/2),0)</f>
        <v>0.0598896209934857</v>
      </c>
      <c r="W17" s="17" t="n">
        <f aca="false">IFERROR((N(AL17)-N(BE17))/((AN17+BG17)/2),0)</f>
        <v>0.0456510839494807</v>
      </c>
      <c r="X17" s="17" t="n">
        <f aca="false">IFERROR((AN17-N(AO17)-AP17)/AN17,0)</f>
        <v>0.698565674918488</v>
      </c>
      <c r="Y17" s="17" t="n">
        <f aca="false">IF(COUNT(BP17,BQ17,BR17,BS17)=4,IFERROR((AD17-(AK17-BD17))/(AW17-(BD17-BP17))-1,0),0)</f>
        <v>0.218513180632048</v>
      </c>
      <c r="Z17" s="17" t="n">
        <f aca="false">IF(COUNT(BP17,BQ17,BR17,BS17)=4,IFERROR(AH17/((AN17+BG17)/2)-BA17/((BG17+BR17)/2),0),0)</f>
        <v>-0.0215025163812861</v>
      </c>
      <c r="AA17" s="9" t="n">
        <f aca="false">IF(N(AJ17)&gt;0,1,0)</f>
        <v>1</v>
      </c>
      <c r="AB17" s="17" t="n">
        <f aca="false">Inputs!$C$24+Inputs!$C$25*U17+Inputs!$C$26*V17+Inputs!$C$27*W17+Inputs!$C$28*X17+Inputs!$C$29*Y17+Inputs!$C$30*Z17+Inputs!$C$31*AA17</f>
        <v>-5.1775899895369</v>
      </c>
      <c r="AD17" s="30" t="n">
        <v>2264.897</v>
      </c>
      <c r="AE17" s="30" t="n">
        <v>1917.402</v>
      </c>
      <c r="AF17" s="30" t="n">
        <v>94.11</v>
      </c>
      <c r="AG17" s="30" t="n">
        <v>11.741</v>
      </c>
      <c r="AH17" s="30" t="n">
        <v>91.752</v>
      </c>
      <c r="AI17" s="30" t="n">
        <v>39.126</v>
      </c>
      <c r="AJ17" s="30" t="n">
        <v>72.6</v>
      </c>
      <c r="AK17" s="30" t="n">
        <v>285.705</v>
      </c>
      <c r="AL17" s="30" t="n">
        <v>479.276</v>
      </c>
      <c r="AM17" s="30" t="n">
        <v>983.611</v>
      </c>
      <c r="AN17" s="30" t="n">
        <v>1181.113</v>
      </c>
      <c r="AO17" s="30" t="n">
        <v>179.622</v>
      </c>
      <c r="AP17" s="30" t="n">
        <v>176.406</v>
      </c>
      <c r="AQ17" s="30" t="s">
        <v>185</v>
      </c>
      <c r="AR17" s="30" t="n">
        <v>2.633</v>
      </c>
      <c r="AS17" s="30" t="n">
        <v>434.497</v>
      </c>
      <c r="AT17" s="30" t="n">
        <v>472.112</v>
      </c>
      <c r="AU17" s="30" t="n">
        <v>0</v>
      </c>
      <c r="AV17" s="30" t="n">
        <v>93.795</v>
      </c>
      <c r="AW17" s="30" t="n">
        <v>1845.63</v>
      </c>
      <c r="AX17" s="30" t="n">
        <v>1548.768</v>
      </c>
      <c r="AY17" s="30" t="n">
        <v>68.824</v>
      </c>
      <c r="AZ17" s="30" t="n">
        <v>7.704</v>
      </c>
      <c r="BA17" s="30" t="n">
        <v>91.71</v>
      </c>
      <c r="BB17" s="30" t="n">
        <v>3.128</v>
      </c>
      <c r="BC17" s="30" t="s">
        <v>185</v>
      </c>
      <c r="BD17" s="30" t="n">
        <v>221.561</v>
      </c>
      <c r="BE17" s="30" t="n">
        <v>430.382</v>
      </c>
      <c r="BF17" s="30" t="n">
        <v>795.252</v>
      </c>
      <c r="BG17" s="30" t="n">
        <v>960.961</v>
      </c>
      <c r="BH17" s="30" t="n">
        <v>153.332</v>
      </c>
      <c r="BI17" s="30" t="n">
        <v>109.245</v>
      </c>
      <c r="BJ17" s="30" t="s">
        <v>185</v>
      </c>
      <c r="BK17" s="30" t="n">
        <v>2.647</v>
      </c>
      <c r="BL17" s="30" t="n">
        <v>359.167</v>
      </c>
      <c r="BM17" s="30" t="n">
        <v>375.208</v>
      </c>
      <c r="BN17" s="30" t="n">
        <v>1.633</v>
      </c>
      <c r="BO17" s="30" t="n">
        <v>44.836</v>
      </c>
      <c r="BP17" s="30" t="n">
        <v>182.028</v>
      </c>
      <c r="BQ17" s="30" t="n">
        <v>1361.466</v>
      </c>
      <c r="BR17" s="30" t="n">
        <v>750.541</v>
      </c>
      <c r="BS17" s="30" t="n">
        <v>46.034</v>
      </c>
    </row>
    <row r="18" customFormat="false" ht="15" hidden="false" customHeight="false" outlineLevel="0" collapsed="false">
      <c r="B18" s="24" t="n">
        <v>42551</v>
      </c>
      <c r="C18" s="24" t="n">
        <v>42608</v>
      </c>
      <c r="D18" s="25" t="s">
        <v>184</v>
      </c>
      <c r="E18" s="26" t="n">
        <f aca="false">Inputs!$C$13+Inputs!$C$14*M18+Inputs!$C$15*N18+Inputs!$C$16*O18+Inputs!$C$17*P18+Inputs!$C$18*Q18+Inputs!$C$19*R18+Inputs!$C$20*S18+Inputs!$C$21*T18</f>
        <v>-1.87070518705484</v>
      </c>
      <c r="F18" s="26" t="n">
        <f aca="false">EXP(AB18)/(1+EXP(AB18))/Inputs!$C$32</f>
        <v>1.08319992565689</v>
      </c>
      <c r="G18" s="27" t="n">
        <f aca="false">IFERROR((AH18-AI18)/((AN18+BG18)/2),"n/a")</f>
        <v>-0.0314692368435171</v>
      </c>
      <c r="H18" s="28" t="n">
        <f aca="false">IFERROR(AI18/AH18,"n/a")</f>
        <v>1.49274517154719</v>
      </c>
      <c r="I18" s="29" t="n">
        <f aca="false">IFERROR(AK18/AD18*365,"n/a")</f>
        <v>47.6009885478836</v>
      </c>
      <c r="J18" s="29" t="n">
        <f aca="false">IFERROR(N(AL18)/AE18*365,"n/a")</f>
        <v>86.9817011031566</v>
      </c>
      <c r="K18" s="9" t="n">
        <f aca="false">IF(E18&gt;Inputs!$C$7,1,0)</f>
        <v>0</v>
      </c>
      <c r="L18" s="9" t="n">
        <f aca="false">IF(F18&gt;Inputs!$C$8,1,0)</f>
        <v>0</v>
      </c>
      <c r="M18" s="17" t="n">
        <f aca="false">IFERROR((AK18/AD18)/(BD18/AW18),1)</f>
        <v>0.804955534269345</v>
      </c>
      <c r="N18" s="17" t="n">
        <f aca="false">IFERROR(((AW18-AX18)/AW18)/((AD18-AE18)/AD18),1)</f>
        <v>1.0748010527171</v>
      </c>
      <c r="O18" s="17" t="n">
        <f aca="false">IFERROR((1-(AM18+AO18)/AN18)/(1-(BF18+BH18)/BG18),1)</f>
        <v>3.00023442612082</v>
      </c>
      <c r="P18" s="17" t="n">
        <f aca="false">IFERROR(AD18/AW18,1)</f>
        <v>1.11270744869184</v>
      </c>
      <c r="Q18" s="17" t="n">
        <f aca="false">IFERROR((AZ18/(AZ18+BH18))/(AG18/(AG18+AO18)),1)</f>
        <v>0.719866550365286</v>
      </c>
      <c r="R18" s="17" t="n">
        <f aca="false">IFERROR((AF18/AD18)/(AY18/AW18),1)</f>
        <v>1.23563258408758</v>
      </c>
      <c r="S18" s="17" t="n">
        <f aca="false">IFERROR((AH18-AI18)/AN18,0)</f>
        <v>-0.0304461221688401</v>
      </c>
      <c r="T18" s="17" t="n">
        <f aca="false">IFERROR(((AS18+N(AU18))/AN18)/((BL18+N(BN18))/BG18),1)</f>
        <v>0.829319357810836</v>
      </c>
      <c r="U18" s="17" t="n">
        <f aca="false">IFERROR((((AM18-AP18-N(AQ18))-(AS18-N(AV18))+(AN18-AM18-N(AR18))-(AT18-AS18-N(AU18))+(N(AQ18)+N(AR18))-(N(AU18)+N(AV18)))-((BF18-BI18-N(BJ18))-(BL18-N(BO18))+(BG18-BF18-N(BK18))-(BM18-BL18-N(BN18))+(N(BJ18)+N(BK18))-(N(BN18)+N(BO18))))/((AN18+BG18)/2),0)</f>
        <v>0.0148726904964909</v>
      </c>
      <c r="V18" s="17" t="n">
        <f aca="false">IFERROR((AK18-BD18)/((AN18+BG18)/2),0)</f>
        <v>-0.0298420375195807</v>
      </c>
      <c r="W18" s="17" t="n">
        <f aca="false">IFERROR((N(AL18)-N(BE18))/((AN18+BG18)/2),0)</f>
        <v>-0.0128695061516558</v>
      </c>
      <c r="X18" s="17" t="n">
        <f aca="false">IFERROR((AN18-N(AO18)-AP18)/AN18,0)</f>
        <v>0.683499485243651</v>
      </c>
      <c r="Y18" s="17" t="n">
        <f aca="false">IF(COUNT(BP18,BQ18,BR18,BS18)=4,IFERROR((AD18-(AK18-BD18))/(AW18-(BD18-BP18))-1,0),0)</f>
        <v>0.195570720018455</v>
      </c>
      <c r="Z18" s="17" t="n">
        <f aca="false">IF(COUNT(BP18,BQ18,BR18,BS18)=4,IFERROR(AH18/((AN18+BG18)/2)-BA18/((BG18+BR18)/2),0),0)</f>
        <v>-0.0441473393108346</v>
      </c>
      <c r="AA18" s="9" t="n">
        <f aca="false">IF(N(AJ18)&gt;0,1,0)</f>
        <v>1</v>
      </c>
      <c r="AB18" s="17" t="n">
        <f aca="false">Inputs!$C$24+Inputs!$C$25*U18+Inputs!$C$26*V18+Inputs!$C$27*W18+Inputs!$C$28*X18+Inputs!$C$29*Y18+Inputs!$C$30*Z18+Inputs!$C$31*AA18</f>
        <v>-5.51548701215066</v>
      </c>
      <c r="AD18" s="30" t="n">
        <v>2215.573</v>
      </c>
      <c r="AE18" s="30" t="n">
        <v>1884.048</v>
      </c>
      <c r="AF18" s="30" t="n">
        <v>100.681</v>
      </c>
      <c r="AG18" s="30" t="n">
        <v>13.282</v>
      </c>
      <c r="AH18" s="30" t="n">
        <v>72.021</v>
      </c>
      <c r="AI18" s="30" t="n">
        <v>107.509</v>
      </c>
      <c r="AJ18" s="30" t="n">
        <v>34.2</v>
      </c>
      <c r="AK18" s="30" t="n">
        <v>288.941</v>
      </c>
      <c r="AL18" s="30" t="n">
        <v>448.98</v>
      </c>
      <c r="AM18" s="30" t="n">
        <v>938.002</v>
      </c>
      <c r="AN18" s="30" t="n">
        <v>1165.6</v>
      </c>
      <c r="AO18" s="30" t="n">
        <v>187.949</v>
      </c>
      <c r="AP18" s="30" t="n">
        <v>180.964</v>
      </c>
      <c r="AQ18" s="30" t="s">
        <v>185</v>
      </c>
      <c r="AR18" s="30" t="n">
        <v>2.643</v>
      </c>
      <c r="AS18" s="30" t="n">
        <v>363.618</v>
      </c>
      <c r="AT18" s="30" t="n">
        <v>444.221</v>
      </c>
      <c r="AU18" s="30" t="n">
        <v>40</v>
      </c>
      <c r="AV18" s="30" t="n">
        <v>53.589</v>
      </c>
      <c r="AW18" s="30" t="n">
        <v>1991.155</v>
      </c>
      <c r="AX18" s="30" t="n">
        <v>1670.924</v>
      </c>
      <c r="AY18" s="30" t="n">
        <v>73.228</v>
      </c>
      <c r="AZ18" s="30" t="n">
        <v>8.133</v>
      </c>
      <c r="BA18" s="30" t="n">
        <v>101.863</v>
      </c>
      <c r="BB18" s="30" t="n">
        <v>-44.636</v>
      </c>
      <c r="BC18" s="30" t="n">
        <v>84.9</v>
      </c>
      <c r="BD18" s="30" t="n">
        <v>322.594</v>
      </c>
      <c r="BE18" s="30" t="n">
        <v>463.493</v>
      </c>
      <c r="BF18" s="30" t="n">
        <v>914.415</v>
      </c>
      <c r="BG18" s="30" t="n">
        <v>1089.809</v>
      </c>
      <c r="BH18" s="30" t="n">
        <v>163.038</v>
      </c>
      <c r="BI18" s="30" t="n">
        <v>95.442</v>
      </c>
      <c r="BJ18" s="30" t="s">
        <v>185</v>
      </c>
      <c r="BK18" s="30" t="n">
        <v>2.633</v>
      </c>
      <c r="BL18" s="30" t="n">
        <v>454.107</v>
      </c>
      <c r="BM18" s="30" t="n">
        <v>470.724</v>
      </c>
      <c r="BN18" s="30" t="n">
        <v>0.933</v>
      </c>
      <c r="BO18" s="30" t="n">
        <v>93.479</v>
      </c>
      <c r="BP18" s="30" t="n">
        <v>212.738</v>
      </c>
      <c r="BQ18" s="30" t="n">
        <v>1467.202</v>
      </c>
      <c r="BR18" s="30" t="n">
        <v>796.325</v>
      </c>
      <c r="BS18" s="30" t="n">
        <v>54.157</v>
      </c>
    </row>
    <row r="19" customFormat="false" ht="15" hidden="false" customHeight="false" outlineLevel="0" collapsed="false">
      <c r="B19" s="24" t="n">
        <v>42643</v>
      </c>
      <c r="C19" s="24" t="n">
        <v>42681</v>
      </c>
      <c r="D19" s="25" t="s">
        <v>184</v>
      </c>
      <c r="E19" s="26" t="n">
        <f aca="false">Inputs!$C$13+Inputs!$C$14*M19+Inputs!$C$15*N19+Inputs!$C$16*O19+Inputs!$C$17*P19+Inputs!$C$18*Q19+Inputs!$C$19*R19+Inputs!$C$20*S19+Inputs!$C$21*T19</f>
        <v>-1.86044940246706</v>
      </c>
      <c r="F19" s="26" t="n">
        <f aca="false">EXP(AB19)/(1+EXP(AB19))/Inputs!$C$32</f>
        <v>1.43045729825572</v>
      </c>
      <c r="G19" s="27" t="n">
        <f aca="false">IFERROR((AH19-AI19)/((AN19+BG19)/2),"n/a")</f>
        <v>-0.00374017184291625</v>
      </c>
      <c r="H19" s="28" t="n">
        <f aca="false">IFERROR(AI19/AH19,"n/a")</f>
        <v>1.0599270743452</v>
      </c>
      <c r="I19" s="29" t="n">
        <f aca="false">IFERROR(AK19/AD19*365,"n/a")</f>
        <v>53.8524052293046</v>
      </c>
      <c r="J19" s="29" t="n">
        <f aca="false">IFERROR(N(AL19)/AE19*365,"n/a")</f>
        <v>96.7862702056536</v>
      </c>
      <c r="K19" s="9" t="n">
        <f aca="false">IF(E19&gt;Inputs!$C$7,1,0)</f>
        <v>0</v>
      </c>
      <c r="L19" s="9" t="n">
        <f aca="false">IF(F19&gt;Inputs!$C$8,1,0)</f>
        <v>0</v>
      </c>
      <c r="M19" s="17" t="n">
        <f aca="false">IFERROR((AK19/AD19)/(BD19/AW19),1)</f>
        <v>1.02677899216663</v>
      </c>
      <c r="N19" s="17" t="n">
        <f aca="false">IFERROR(((AW19-AX19)/AW19)/((AD19-AE19)/AD19),1)</f>
        <v>1.02504694857002</v>
      </c>
      <c r="O19" s="17" t="n">
        <f aca="false">IFERROR((1-(AM19+AO19)/AN19)/(1-(BF19+BH19)/BG19),1)</f>
        <v>2.4512875579517</v>
      </c>
      <c r="P19" s="17" t="n">
        <f aca="false">IFERROR(AD19/AW19,1)</f>
        <v>1.07616722234288</v>
      </c>
      <c r="Q19" s="17" t="n">
        <f aca="false">IFERROR((AZ19/(AZ19+BH19))/(AG19/(AG19+AO19)),1)</f>
        <v>0.726270402633739</v>
      </c>
      <c r="R19" s="17" t="n">
        <f aca="false">IFERROR((AF19/AD19)/(AY19/AW19),1)</f>
        <v>1.22431009190021</v>
      </c>
      <c r="S19" s="17" t="n">
        <f aca="false">IFERROR((AH19-AI19)/AN19,0)</f>
        <v>-0.00352782814086079</v>
      </c>
      <c r="T19" s="17" t="n">
        <f aca="false">IFERROR(((AS19+N(AU19))/AN19)/((BL19+N(BN19))/BG19),1)</f>
        <v>0.957202606949919</v>
      </c>
      <c r="U19" s="17" t="n">
        <f aca="false">IFERROR((((AM19-AP19-N(AQ19))-(AS19-N(AV19))+(AN19-AM19-N(AR19))-(AT19-AS19-N(AU19))+(N(AQ19)+N(AR19))-(N(AU19)+N(AV19)))-((BF19-BI19-N(BJ19))-(BL19-N(BO19))+(BG19-BF19-N(BK19))-(BM19-BL19-N(BN19))+(N(BJ19)+N(BK19))-(N(BN19)+N(BO19))))/((AN19+BG19)/2),0)</f>
        <v>0.042820885202956</v>
      </c>
      <c r="V19" s="17" t="n">
        <f aca="false">IFERROR((AK19-BD19)/((AN19+BG19)/2),0)</f>
        <v>0.0270906222964968</v>
      </c>
      <c r="W19" s="17" t="n">
        <f aca="false">IFERROR((N(AL19)-N(BE19))/((AN19+BG19)/2),0)</f>
        <v>0.0335416804194274</v>
      </c>
      <c r="X19" s="17" t="n">
        <f aca="false">IFERROR((AN19-N(AO19)-AP19)/AN19,0)</f>
        <v>0.723456288439686</v>
      </c>
      <c r="Y19" s="17" t="n">
        <f aca="false">IF(COUNT(BP19,BQ19,BR19,BS19)=4,IFERROR((AD19-(AK19-BD19))/(AW19-(BD19-BP19))-1,0),0)</f>
        <v>0.116550103499542</v>
      </c>
      <c r="Z19" s="17" t="n">
        <f aca="false">IF(COUNT(BP19,BQ19,BR19,BS19)=4,IFERROR(AH19/((AN19+BG19)/2)-BA19/((BG19+BR19)/2),0),0)</f>
        <v>-0.0367356014708197</v>
      </c>
      <c r="AA19" s="9" t="n">
        <f aca="false">IF(N(AJ19)&gt;0,1,0)</f>
        <v>1</v>
      </c>
      <c r="AB19" s="17" t="n">
        <f aca="false">Inputs!$C$24+Inputs!$C$25*U19+Inputs!$C$26*V19+Inputs!$C$27*W19+Inputs!$C$28*X19+Inputs!$C$29*Y19+Inputs!$C$30*Z19+Inputs!$C$31*AA19</f>
        <v>-5.23612152927618</v>
      </c>
      <c r="AD19" s="30" t="n">
        <v>2224.923</v>
      </c>
      <c r="AE19" s="30" t="n">
        <v>1885.549</v>
      </c>
      <c r="AF19" s="30" t="n">
        <v>104.903</v>
      </c>
      <c r="AG19" s="30" t="n">
        <v>14.331</v>
      </c>
      <c r="AH19" s="30" t="n">
        <v>71.854</v>
      </c>
      <c r="AI19" s="30" t="n">
        <v>76.16</v>
      </c>
      <c r="AJ19" s="30" t="n">
        <v>103.416</v>
      </c>
      <c r="AK19" s="30" t="n">
        <v>328.267</v>
      </c>
      <c r="AL19" s="30" t="n">
        <v>499.987</v>
      </c>
      <c r="AM19" s="30" t="n">
        <v>989.371</v>
      </c>
      <c r="AN19" s="30" t="n">
        <v>1220.581</v>
      </c>
      <c r="AO19" s="30" t="n">
        <v>190.848</v>
      </c>
      <c r="AP19" s="30" t="n">
        <v>146.696</v>
      </c>
      <c r="AQ19" s="30" t="s">
        <v>185</v>
      </c>
      <c r="AR19" s="30" t="n">
        <v>2.643</v>
      </c>
      <c r="AS19" s="30" t="n">
        <v>415.493</v>
      </c>
      <c r="AT19" s="30" t="n">
        <v>497.366</v>
      </c>
      <c r="AU19" s="30" t="n">
        <v>37.212</v>
      </c>
      <c r="AV19" s="30" t="n">
        <v>60.983</v>
      </c>
      <c r="AW19" s="30" t="n">
        <v>2067.451</v>
      </c>
      <c r="AX19" s="30" t="n">
        <v>1744.198</v>
      </c>
      <c r="AY19" s="30" t="n">
        <v>79.619</v>
      </c>
      <c r="AZ19" s="30" t="n">
        <v>9.039</v>
      </c>
      <c r="BA19" s="30" t="n">
        <v>94.699</v>
      </c>
      <c r="BB19" s="30" t="n">
        <v>-51.376</v>
      </c>
      <c r="BC19" s="30" t="n">
        <v>89.6</v>
      </c>
      <c r="BD19" s="30" t="n">
        <v>297.078</v>
      </c>
      <c r="BE19" s="30" t="n">
        <v>461.371</v>
      </c>
      <c r="BF19" s="30" t="n">
        <v>898.242</v>
      </c>
      <c r="BG19" s="30" t="n">
        <v>1081.987</v>
      </c>
      <c r="BH19" s="30" t="n">
        <v>169.149</v>
      </c>
      <c r="BI19" s="30" t="n">
        <v>110.894</v>
      </c>
      <c r="BJ19" s="30" t="s">
        <v>185</v>
      </c>
      <c r="BK19" s="30" t="n">
        <v>2.633</v>
      </c>
      <c r="BL19" s="30" t="n">
        <v>419.011</v>
      </c>
      <c r="BM19" s="30" t="n">
        <v>443.873</v>
      </c>
      <c r="BN19" s="30" t="n">
        <v>0.233</v>
      </c>
      <c r="BO19" s="30" t="n">
        <v>94.574</v>
      </c>
      <c r="BP19" s="30" t="n">
        <v>194.37</v>
      </c>
      <c r="BQ19" s="30" t="n">
        <v>1601.508</v>
      </c>
      <c r="BR19" s="30" t="n">
        <v>828.275</v>
      </c>
      <c r="BS19" s="30" t="n">
        <v>67.321</v>
      </c>
    </row>
    <row r="20" customFormat="false" ht="15" hidden="false" customHeight="false" outlineLevel="0" collapsed="false">
      <c r="B20" s="24" t="n">
        <v>42735</v>
      </c>
      <c r="C20" s="24" t="n">
        <v>42773</v>
      </c>
      <c r="D20" s="25" t="s">
        <v>184</v>
      </c>
      <c r="E20" s="26" t="n">
        <f aca="false">Inputs!$C$13+Inputs!$C$14*M20+Inputs!$C$15*N20+Inputs!$C$16*O20+Inputs!$C$17*P20+Inputs!$C$18*Q20+Inputs!$C$19*R20+Inputs!$C$20*S20+Inputs!$C$21*T20</f>
        <v>-1.65724639829631</v>
      </c>
      <c r="F20" s="26" t="n">
        <f aca="false">EXP(AB20)/(1+EXP(AB20))/Inputs!$C$32</f>
        <v>1.75503669450934</v>
      </c>
      <c r="G20" s="27" t="n">
        <f aca="false">IFERROR((AH20-AI20)/((AN20+BG20)/2),"n/a")</f>
        <v>0.0735057781847273</v>
      </c>
      <c r="H20" s="28" t="n">
        <f aca="false">IFERROR(AI20/AH20,"n/a")</f>
        <v>-0.579486486029648</v>
      </c>
      <c r="I20" s="29" t="n">
        <f aca="false">IFERROR(AK20/AD20*365,"n/a")</f>
        <v>59.8383516249291</v>
      </c>
      <c r="J20" s="29" t="n">
        <f aca="false">IFERROR(N(AL20)/AE20*365,"n/a")</f>
        <v>114.428748699336</v>
      </c>
      <c r="K20" s="9" t="n">
        <f aca="false">IF(E20&gt;Inputs!$C$7,1,0)</f>
        <v>1</v>
      </c>
      <c r="L20" s="9" t="n">
        <f aca="false">IF(F20&gt;Inputs!$C$8,1,0)</f>
        <v>0</v>
      </c>
      <c r="M20" s="17" t="n">
        <f aca="false">IFERROR((AK20/AD20)/(BD20/AW20),1)</f>
        <v>1.14976025835201</v>
      </c>
      <c r="N20" s="17" t="n">
        <f aca="false">IFERROR(((AW20-AX20)/AW20)/((AD20-AE20)/AD20),1)</f>
        <v>1.07408103328832</v>
      </c>
      <c r="O20" s="17" t="n">
        <f aca="false">IFERROR((1-(AM20+AO20)/AN20)/(1-(BF20+BH20)/BG20),1)</f>
        <v>1.89121253716302</v>
      </c>
      <c r="P20" s="17" t="n">
        <f aca="false">IFERROR(AD20/AW20,1)</f>
        <v>1.01566305906188</v>
      </c>
      <c r="Q20" s="17" t="n">
        <f aca="false">IFERROR((AZ20/(AZ20+BH20))/(AG20/(AG20+AO20)),1)</f>
        <v>0.774747741827238</v>
      </c>
      <c r="R20" s="17" t="n">
        <f aca="false">IFERROR((AF20/AD20)/(AY20/AW20),1)</f>
        <v>1.14804926684278</v>
      </c>
      <c r="S20" s="17" t="n">
        <f aca="false">IFERROR((AH20-AI20)/AN20,0)</f>
        <v>0.0692251617950359</v>
      </c>
      <c r="T20" s="17" t="n">
        <f aca="false">IFERROR(((AS20+N(AU20))/AN20)/((BL20+N(BN20))/BG20),1)</f>
        <v>1.00213450674493</v>
      </c>
      <c r="U20" s="17" t="n">
        <f aca="false">IFERROR((((AM20-AP20-N(AQ20))-(AS20-N(AV20))+(AN20-AM20-N(AR20))-(AT20-AS20-N(AU20))+(N(AQ20)+N(AR20))-(N(AU20)+N(AV20)))-((BF20-BI20-N(BJ20))-(BL20-N(BO20))+(BG20-BF20-N(BK20))-(BM20-BL20-N(BN20))+(N(BJ20)+N(BK20))-(N(BN20)+N(BO20))))/((AN20+BG20)/2),0)</f>
        <v>0.0907400371446305</v>
      </c>
      <c r="V20" s="17" t="n">
        <f aca="false">IFERROR((AK20-BD20)/((AN20+BG20)/2),0)</f>
        <v>0.041462438062784</v>
      </c>
      <c r="W20" s="17" t="n">
        <f aca="false">IFERROR((N(AL20)-N(BE20))/((AN20+BG20)/2),0)</f>
        <v>0.0886830018084605</v>
      </c>
      <c r="X20" s="17" t="n">
        <f aca="false">IFERROR((AN20-N(AO20)-AP20)/AN20,0)</f>
        <v>0.761143410852713</v>
      </c>
      <c r="Y20" s="17" t="n">
        <f aca="false">IF(COUNT(BP20,BQ20,BR20,BS20)=4,IFERROR((AD20-(AK20-BD20))/(AW20-(BD20-BP20))-1,0),0)</f>
        <v>0.0173160354542277</v>
      </c>
      <c r="Z20" s="17" t="n">
        <f aca="false">IF(COUNT(BP20,BQ20,BR20,BS20)=4,IFERROR(AH20/((AN20+BG20)/2)-BA20/((BG20+BR20)/2),0),0)</f>
        <v>-0.0457186280917664</v>
      </c>
      <c r="AA20" s="9" t="n">
        <f aca="false">IF(N(AJ20)&gt;0,1,0)</f>
        <v>1</v>
      </c>
      <c r="AB20" s="17" t="n">
        <f aca="false">Inputs!$C$24+Inputs!$C$25*U20+Inputs!$C$26*V20+Inputs!$C$27*W20+Inputs!$C$28*X20+Inputs!$C$29*Y20+Inputs!$C$30*Z20+Inputs!$C$31*AA20</f>
        <v>-5.03041788293806</v>
      </c>
      <c r="AD20" s="30" t="n">
        <v>2237.913</v>
      </c>
      <c r="AE20" s="30" t="n">
        <v>1911.523</v>
      </c>
      <c r="AF20" s="30" t="n">
        <v>105.513</v>
      </c>
      <c r="AG20" s="30" t="n">
        <v>15.04</v>
      </c>
      <c r="AH20" s="30" t="n">
        <v>59.161</v>
      </c>
      <c r="AI20" s="30" t="n">
        <v>-34.283</v>
      </c>
      <c r="AJ20" s="30" t="n">
        <v>149.916</v>
      </c>
      <c r="AK20" s="30" t="n">
        <v>366.885</v>
      </c>
      <c r="AL20" s="30" t="n">
        <v>599.269</v>
      </c>
      <c r="AM20" s="30" t="n">
        <v>1113.808</v>
      </c>
      <c r="AN20" s="30" t="n">
        <v>1349.856</v>
      </c>
      <c r="AO20" s="30" t="n">
        <v>193.67</v>
      </c>
      <c r="AP20" s="30" t="n">
        <v>128.752</v>
      </c>
      <c r="AQ20" s="30" t="s">
        <v>185</v>
      </c>
      <c r="AR20" s="30" t="n">
        <v>2.643</v>
      </c>
      <c r="AS20" s="30" t="n">
        <v>509.762</v>
      </c>
      <c r="AT20" s="30" t="n">
        <v>597.495</v>
      </c>
      <c r="AU20" s="30" t="n">
        <v>34.732</v>
      </c>
      <c r="AV20" s="30" t="n">
        <v>92.443</v>
      </c>
      <c r="AW20" s="30" t="n">
        <v>2203.401</v>
      </c>
      <c r="AX20" s="30" t="n">
        <v>1858.238</v>
      </c>
      <c r="AY20" s="30" t="n">
        <v>90.489</v>
      </c>
      <c r="AZ20" s="30" t="n">
        <v>10.241</v>
      </c>
      <c r="BA20" s="30" t="n">
        <v>98.146</v>
      </c>
      <c r="BB20" s="30" t="n">
        <v>50.973</v>
      </c>
      <c r="BC20" s="30" t="n">
        <v>94.1</v>
      </c>
      <c r="BD20" s="30" t="n">
        <v>314.176</v>
      </c>
      <c r="BE20" s="30" t="n">
        <v>486.531</v>
      </c>
      <c r="BF20" s="30" t="n">
        <v>999.648</v>
      </c>
      <c r="BG20" s="30" t="n">
        <v>1192.638</v>
      </c>
      <c r="BH20" s="30" t="n">
        <v>173.192</v>
      </c>
      <c r="BI20" s="30" t="n">
        <v>169.892</v>
      </c>
      <c r="BJ20" s="30" t="s">
        <v>185</v>
      </c>
      <c r="BK20" s="30" t="n">
        <v>2.633</v>
      </c>
      <c r="BL20" s="30" t="n">
        <v>480.052</v>
      </c>
      <c r="BM20" s="30" t="n">
        <v>514.49</v>
      </c>
      <c r="BN20" s="30" t="n">
        <v>0</v>
      </c>
      <c r="BO20" s="30" t="n">
        <v>94.233</v>
      </c>
      <c r="BP20" s="30" t="n">
        <v>258.784</v>
      </c>
      <c r="BQ20" s="30" t="n">
        <v>1748.16</v>
      </c>
      <c r="BR20" s="30" t="n">
        <v>935.041</v>
      </c>
      <c r="BS20" s="30" t="n">
        <v>85.228</v>
      </c>
    </row>
    <row r="21" customFormat="false" ht="15" hidden="false" customHeight="false" outlineLevel="0" collapsed="false">
      <c r="B21" s="24" t="n">
        <v>42825</v>
      </c>
      <c r="C21" s="24" t="n">
        <v>42865</v>
      </c>
      <c r="D21" s="25" t="s">
        <v>184</v>
      </c>
      <c r="E21" s="26" t="n">
        <f aca="false">Inputs!$C$13+Inputs!$C$14*M21+Inputs!$C$15*N21+Inputs!$C$16*O21+Inputs!$C$17*P21+Inputs!$C$18*Q21+Inputs!$C$19*R21+Inputs!$C$20*S21+Inputs!$C$21*T21</f>
        <v>-1.15482255338456</v>
      </c>
      <c r="F21" s="26" t="n">
        <f aca="false">EXP(AB21)/(1+EXP(AB21))/Inputs!$C$32</f>
        <v>2.1340726531356</v>
      </c>
      <c r="G21" s="27" t="n">
        <f aca="false">IFERROR((AH21-AI21)/((AN21+BG21)/2),"n/a")</f>
        <v>0.104235470026134</v>
      </c>
      <c r="H21" s="28" t="n">
        <f aca="false">IFERROR(AI21/AH21,"n/a")</f>
        <v>-1.27759655201555</v>
      </c>
      <c r="I21" s="29" t="n">
        <f aca="false">IFERROR(AK21/AD21*365,"n/a")</f>
        <v>61.137667164887</v>
      </c>
      <c r="J21" s="29" t="n">
        <f aca="false">IFERROR(N(AL21)/AE21*365,"n/a")</f>
        <v>117.178245979512</v>
      </c>
      <c r="K21" s="9" t="n">
        <f aca="false">IF(E21&gt;Inputs!$C$7,1,0)</f>
        <v>1</v>
      </c>
      <c r="L21" s="9" t="n">
        <f aca="false">IF(F21&gt;Inputs!$C$8,1,0)</f>
        <v>1</v>
      </c>
      <c r="M21" s="17" t="n">
        <f aca="false">IFERROR((AK21/AD21)/(BD21/AW21),1)</f>
        <v>1.32784265165502</v>
      </c>
      <c r="N21" s="17" t="n">
        <f aca="false">IFERROR(((AW21-AX21)/AW21)/((AD21-AE21)/AD21),1)</f>
        <v>1.06820922470761</v>
      </c>
      <c r="O21" s="17" t="n">
        <f aca="false">IFERROR((1-(AM21+AO21)/AN21)/(1-(BF21+BH21)/BG21),1)</f>
        <v>2.45500861135764</v>
      </c>
      <c r="P21" s="17" t="n">
        <f aca="false">IFERROR(AD21/AW21,1)</f>
        <v>1.03153300127997</v>
      </c>
      <c r="Q21" s="17" t="n">
        <f aca="false">IFERROR((AZ21/(AZ21+BH21))/(AG21/(AG21+AO21)),1)</f>
        <v>0.834825186711876</v>
      </c>
      <c r="R21" s="17" t="n">
        <f aca="false">IFERROR((AF21/AD21)/(AY21/AW21),1)</f>
        <v>1.15477755709571</v>
      </c>
      <c r="S21" s="17" t="n">
        <f aca="false">IFERROR((AH21-AI21)/AN21,0)</f>
        <v>0.0959474700524616</v>
      </c>
      <c r="T21" s="17" t="n">
        <f aca="false">IFERROR(((AS21+N(AU21))/AN21)/((BL21+N(BN21))/BG21),1)</f>
        <v>1.09701696853177</v>
      </c>
      <c r="U21" s="17" t="n">
        <f aca="false">IFERROR((((AM21-AP21-N(AQ21))-(AS21-N(AV21))+(AN21-AM21-N(AR21))-(AT21-AS21-N(AU21))+(N(AQ21)+N(AR21))-(N(AU21)+N(AV21)))-((BF21-BI21-N(BJ21))-(BL21-N(BO21))+(BG21-BF21-N(BK21))-(BM21-BL21-N(BN21))+(N(BJ21)+N(BK21))-(N(BN21)+N(BO21))))/((AN21+BG21)/2),0)</f>
        <v>0.105703618816593</v>
      </c>
      <c r="V21" s="17" t="n">
        <f aca="false">IFERROR((AK21-BD21)/((AN21+BG21)/2),0)</f>
        <v>0.0817065798669461</v>
      </c>
      <c r="W21" s="17" t="n">
        <f aca="false">IFERROR((N(AL21)-N(BE21))/((AN21+BG21)/2),0)</f>
        <v>0.12611382639566</v>
      </c>
      <c r="X21" s="17" t="n">
        <f aca="false">IFERROR((AN21-N(AO21)-AP21)/AN21,0)</f>
        <v>0.784021713745393</v>
      </c>
      <c r="Y21" s="17" t="n">
        <f aca="false">IF(COUNT(BP21,BQ21,BR21,BS21)=4,IFERROR((AD21-(AK21-BD21))/(AW21-(BD21-BP21))-1,0),0)</f>
        <v>0.0136017081426221</v>
      </c>
      <c r="Z21" s="17" t="n">
        <f aca="false">IF(COUNT(BP21,BQ21,BR21,BS21)=4,IFERROR(AH21/((AN21+BG21)/2)-BA21/((BG21+BR21)/2),0),0)</f>
        <v>-0.0399009533598833</v>
      </c>
      <c r="AA21" s="9" t="n">
        <f aca="false">IF(N(AJ21)&gt;0,1,0)</f>
        <v>1</v>
      </c>
      <c r="AB21" s="17" t="n">
        <f aca="false">Inputs!$C$24+Inputs!$C$25*U21+Inputs!$C$26*V21+Inputs!$C$27*W21+Inputs!$C$28*X21+Inputs!$C$29*Y21+Inputs!$C$30*Z21+Inputs!$C$31*AA21</f>
        <v>-4.83346285366676</v>
      </c>
      <c r="AD21" s="30" t="n">
        <v>2336.316</v>
      </c>
      <c r="AE21" s="30" t="n">
        <v>2000.752</v>
      </c>
      <c r="AF21" s="30" t="n">
        <v>112.103</v>
      </c>
      <c r="AG21" s="30" t="n">
        <v>15.512</v>
      </c>
      <c r="AH21" s="30" t="n">
        <v>59.165</v>
      </c>
      <c r="AI21" s="30" t="n">
        <v>-75.589</v>
      </c>
      <c r="AJ21" s="30" t="n">
        <v>180.516</v>
      </c>
      <c r="AK21" s="30" t="n">
        <v>391.334</v>
      </c>
      <c r="AL21" s="30" t="n">
        <v>642.314</v>
      </c>
      <c r="AM21" s="30" t="n">
        <v>1156.707</v>
      </c>
      <c r="AN21" s="30" t="n">
        <v>1404.456</v>
      </c>
      <c r="AO21" s="30" t="n">
        <v>195.553</v>
      </c>
      <c r="AP21" s="30" t="n">
        <v>107.779</v>
      </c>
      <c r="AQ21" s="30" t="s">
        <v>185</v>
      </c>
      <c r="AR21" s="30" t="n">
        <v>2.643</v>
      </c>
      <c r="AS21" s="30" t="n">
        <v>534.532</v>
      </c>
      <c r="AT21" s="30" t="n">
        <v>627.43</v>
      </c>
      <c r="AU21" s="30" t="n">
        <v>32.251</v>
      </c>
      <c r="AV21" s="30" t="n">
        <v>113.26</v>
      </c>
      <c r="AW21" s="30" t="n">
        <v>2264.897</v>
      </c>
      <c r="AX21" s="30" t="n">
        <v>1917.402</v>
      </c>
      <c r="AY21" s="30" t="n">
        <v>94.11</v>
      </c>
      <c r="AZ21" s="30" t="n">
        <v>11.741</v>
      </c>
      <c r="BA21" s="30" t="n">
        <v>91.752</v>
      </c>
      <c r="BB21" s="30" t="n">
        <v>39.126</v>
      </c>
      <c r="BC21" s="30" t="n">
        <v>72.6</v>
      </c>
      <c r="BD21" s="30" t="n">
        <v>285.705</v>
      </c>
      <c r="BE21" s="30" t="n">
        <v>479.276</v>
      </c>
      <c r="BF21" s="30" t="n">
        <v>983.611</v>
      </c>
      <c r="BG21" s="30" t="n">
        <v>1181.113</v>
      </c>
      <c r="BH21" s="30" t="n">
        <v>179.622</v>
      </c>
      <c r="BI21" s="30" t="n">
        <v>176.406</v>
      </c>
      <c r="BJ21" s="30" t="s">
        <v>185</v>
      </c>
      <c r="BK21" s="30" t="n">
        <v>2.633</v>
      </c>
      <c r="BL21" s="30" t="n">
        <v>434.497</v>
      </c>
      <c r="BM21" s="30" t="n">
        <v>472.112</v>
      </c>
      <c r="BN21" s="30" t="n">
        <v>0</v>
      </c>
      <c r="BO21" s="30" t="n">
        <v>93.795</v>
      </c>
      <c r="BP21" s="30" t="n">
        <v>221.561</v>
      </c>
      <c r="BQ21" s="30" t="n">
        <v>1845.63</v>
      </c>
      <c r="BR21" s="30" t="n">
        <v>960.961</v>
      </c>
      <c r="BS21" s="30" t="n">
        <v>91.71</v>
      </c>
    </row>
    <row r="22" customFormat="false" ht="15" hidden="false" customHeight="false" outlineLevel="0" collapsed="false">
      <c r="B22" s="24" t="n">
        <v>42916</v>
      </c>
      <c r="C22" s="24" t="n">
        <v>43602</v>
      </c>
      <c r="D22" s="25" t="s">
        <v>184</v>
      </c>
      <c r="E22" s="26" t="n">
        <f aca="false">Inputs!$C$13+Inputs!$C$14*M22+Inputs!$C$15*N22+Inputs!$C$16*O22+Inputs!$C$17*P22+Inputs!$C$18*Q22+Inputs!$C$19*R22+Inputs!$C$20*S22+Inputs!$C$21*T22</f>
        <v>-1.34013599042496</v>
      </c>
      <c r="F22" s="26" t="n">
        <f aca="false">EXP(AB22)/(1+EXP(AB22))/Inputs!$C$32</f>
        <v>2.39062886999784</v>
      </c>
      <c r="G22" s="27" t="n">
        <f aca="false">IFERROR((AH22-AI22)/((AN22+BG22)/2),"n/a")</f>
        <v>0.120476773000056</v>
      </c>
      <c r="H22" s="28" t="n">
        <f aca="false">IFERROR(AI22/AH22,"n/a")</f>
        <v>-1.43877703652736</v>
      </c>
      <c r="I22" s="29" t="n">
        <f aca="false">IFERROR(AK22/AD22*365,"n/a")</f>
        <v>47.5914845051911</v>
      </c>
      <c r="J22" s="29" t="n">
        <f aca="false">IFERROR(N(AL22)/AE22*365,"n/a")</f>
        <v>125.942609993297</v>
      </c>
      <c r="K22" s="9" t="n">
        <f aca="false">IF(E22&gt;Inputs!$C$7,1,0)</f>
        <v>1</v>
      </c>
      <c r="L22" s="9" t="n">
        <f aca="false">IF(F22&gt;Inputs!$C$8,1,0)</f>
        <v>1</v>
      </c>
      <c r="M22" s="17" t="n">
        <f aca="false">IFERROR((AK22/AD22)/(BD22/AW22),1)</f>
        <v>1.65843690193575</v>
      </c>
      <c r="N22" s="17" t="n">
        <f aca="false">IFERROR(((AW22-AX22)/AW22)/((AD22-AE22)/AD22),1)</f>
        <v>1.0547184109243</v>
      </c>
      <c r="O22" s="17" t="n">
        <f aca="false">IFERROR((1-(AM22+AO22)/AN22)/(1-(BF22+BH22)/BG22),1)</f>
        <v>0.933132874244897</v>
      </c>
      <c r="P22" s="17" t="n">
        <f aca="false">IFERROR(AD22/AW22,1)</f>
        <v>1.11681097984649</v>
      </c>
      <c r="Q22" s="17" t="n">
        <f aca="false">IFERROR((AZ22/(AZ22+BH22))/(AG22/(AG22+AO22)),1)</f>
        <v>0.855191789431203</v>
      </c>
      <c r="R22" s="17" t="n">
        <f aca="false">IFERROR((AF22/AD22)/(AY22/AW22),1)</f>
        <v>1.00693028767801</v>
      </c>
      <c r="S22" s="17" t="n">
        <f aca="false">IFERROR((AH22-AI22)/AN22,0)</f>
        <v>0.107609248051322</v>
      </c>
      <c r="T22" s="17" t="n">
        <f aca="false">IFERROR(((AS22+N(AU22))/AN22)/((BL22+N(BN22))/BG22),1)</f>
        <v>1.17623564014678</v>
      </c>
      <c r="U22" s="17" t="n">
        <f aca="false">IFERROR((((AM22-AP22-N(AQ22))-(AS22-N(AV22))+(AN22-AM22-N(AR22))-(AT22-AS22-N(AU22))+(N(AQ22)+N(AR22))-(N(AU22)+N(AV22)))-((BF22-BI22-N(BJ22))-(BL22-N(BO22))+(BG22-BF22-N(BK22))-(BM22-BL22-N(BN22))+(N(BJ22)+N(BK22))-(N(BN22)+N(BO22))))/((AN22+BG22)/2),0)</f>
        <v>0.107445726448517</v>
      </c>
      <c r="V22" s="17" t="n">
        <f aca="false">IFERROR((AK22-BD22)/((AN22+BG22)/2),0)</f>
        <v>0.110153169293135</v>
      </c>
      <c r="W22" s="17" t="n">
        <f aca="false">IFERROR((N(AL22)-N(BE22))/((AN22+BG22)/2),0)</f>
        <v>0.162462088226134</v>
      </c>
      <c r="X22" s="17" t="n">
        <f aca="false">IFERROR((AN22-N(AO22)-AP22)/AN22,0)</f>
        <v>0.797917010421548</v>
      </c>
      <c r="Y22" s="17" t="n">
        <f aca="false">IF(COUNT(BP22,BQ22,BR22,BS22)=4,IFERROR((AD22-(AK22-BD22))/(AW22-(BD22-BP22))-1,0),0)</f>
        <v>-0.0155204045378164</v>
      </c>
      <c r="Z22" s="17" t="n">
        <f aca="false">IF(COUNT(BP22,BQ22,BR22,BS22)=4,IFERROR(AH22/((AN22+BG22)/2)-BA22/((BG22+BR22)/2),0),0)</f>
        <v>-0.0137926510420228</v>
      </c>
      <c r="AA22" s="9" t="n">
        <f aca="false">IF(N(AJ22)&gt;0,1,0)</f>
        <v>1</v>
      </c>
      <c r="AB22" s="17" t="n">
        <f aca="false">Inputs!$C$24+Inputs!$C$25*U22+Inputs!$C$26*V22+Inputs!$C$27*W22+Inputs!$C$28*X22+Inputs!$C$29*Y22+Inputs!$C$30*Z22+Inputs!$C$31*AA22</f>
        <v>-4.71898132352879</v>
      </c>
      <c r="AD22" s="30" t="n">
        <v>2484.929</v>
      </c>
      <c r="AE22" s="30" t="n">
        <v>2134.971</v>
      </c>
      <c r="AF22" s="30" t="n">
        <v>111.091</v>
      </c>
      <c r="AG22" s="30" t="n">
        <v>16.357</v>
      </c>
      <c r="AH22" s="30" t="n">
        <v>66.854</v>
      </c>
      <c r="AI22" s="30" t="n">
        <v>-96.188</v>
      </c>
      <c r="AJ22" s="30" t="n">
        <v>207.029</v>
      </c>
      <c r="AK22" s="30" t="n">
        <v>324.004</v>
      </c>
      <c r="AL22" s="30" t="n">
        <v>736.668</v>
      </c>
      <c r="AM22" s="30" t="n">
        <v>1261.166</v>
      </c>
      <c r="AN22" s="30" t="n">
        <v>1515.13</v>
      </c>
      <c r="AO22" s="30" t="n">
        <v>195.576</v>
      </c>
      <c r="AP22" s="30" t="n">
        <v>110.606</v>
      </c>
      <c r="AQ22" s="30" t="s">
        <v>185</v>
      </c>
      <c r="AR22" s="30" t="n">
        <v>2.625</v>
      </c>
      <c r="AS22" s="30" t="n">
        <v>672.53</v>
      </c>
      <c r="AT22" s="30" t="n">
        <v>741.284</v>
      </c>
      <c r="AU22" s="30" t="n">
        <v>0</v>
      </c>
      <c r="AV22" s="30" t="n">
        <v>161.447</v>
      </c>
      <c r="AW22" s="30" t="n">
        <v>2225.022</v>
      </c>
      <c r="AX22" s="30" t="n">
        <v>1894.521</v>
      </c>
      <c r="AY22" s="30" t="n">
        <v>98.787</v>
      </c>
      <c r="AZ22" s="30" t="n">
        <v>13.282</v>
      </c>
      <c r="BA22" s="30" t="n">
        <v>72.081</v>
      </c>
      <c r="BB22" s="30" t="n">
        <v>107.987</v>
      </c>
      <c r="BC22" s="30" t="n">
        <v>34.2</v>
      </c>
      <c r="BD22" s="30" t="n">
        <v>174.933</v>
      </c>
      <c r="BE22" s="30" t="n">
        <v>516.807</v>
      </c>
      <c r="BF22" s="30" t="n">
        <v>954.328</v>
      </c>
      <c r="BG22" s="30" t="n">
        <v>1191.483</v>
      </c>
      <c r="BH22" s="30" t="n">
        <v>187.949</v>
      </c>
      <c r="BI22" s="30" t="n">
        <v>178.82</v>
      </c>
      <c r="BJ22" s="30" t="s">
        <v>185</v>
      </c>
      <c r="BK22" s="30" t="n">
        <v>2.643</v>
      </c>
      <c r="BL22" s="30" t="n">
        <v>409.63</v>
      </c>
      <c r="BM22" s="30" t="n">
        <v>494.83</v>
      </c>
      <c r="BN22" s="30" t="n">
        <v>40</v>
      </c>
      <c r="BO22" s="30" t="n">
        <v>53.589</v>
      </c>
      <c r="BP22" s="30" t="n">
        <v>322.594</v>
      </c>
      <c r="BQ22" s="30" t="n">
        <v>1954.353</v>
      </c>
      <c r="BR22" s="30" t="n">
        <v>1089.809</v>
      </c>
      <c r="BS22" s="30" t="n">
        <v>92.555</v>
      </c>
    </row>
    <row r="23" customFormat="false" ht="15" hidden="false" customHeight="false" outlineLevel="0" collapsed="false">
      <c r="B23" s="24" t="n">
        <v>43281</v>
      </c>
      <c r="C23" s="24" t="n">
        <v>43818</v>
      </c>
      <c r="D23" s="25" t="s">
        <v>184</v>
      </c>
      <c r="E23" s="26" t="n">
        <f aca="false">Inputs!$C$13+Inputs!$C$14*M23+Inputs!$C$15*N23+Inputs!$C$16*O23+Inputs!$C$17*P23+Inputs!$C$18*Q23+Inputs!$C$19*R23+Inputs!$C$20*S23+Inputs!$C$21*T23</f>
        <v>-2.40089442460834</v>
      </c>
      <c r="F23" s="26" t="n">
        <f aca="false">EXP(AB23)/(1+EXP(AB23))/Inputs!$C$32</f>
        <v>2.12601125269873</v>
      </c>
      <c r="G23" s="27" t="n">
        <f aca="false">IFERROR((AH23-AI23)/((AN23+BG23)/2),"n/a")</f>
        <v>-0.0232488541344776</v>
      </c>
      <c r="H23" s="28" t="n">
        <f aca="false">IFERROR(AI23/AH23,"n/a")</f>
        <v>1.8270767897758</v>
      </c>
      <c r="I23" s="29" t="n">
        <f aca="false">IFERROR(AK23/AD23*365,"n/a")</f>
        <v>49.0280723774971</v>
      </c>
      <c r="J23" s="29" t="n">
        <f aca="false">IFERROR(N(AL23)/AE23*365,"n/a")</f>
        <v>106.274421617077</v>
      </c>
      <c r="K23" s="9" t="n">
        <f aca="false">IF(E23&gt;Inputs!$C$7,1,0)</f>
        <v>0</v>
      </c>
      <c r="L23" s="9" t="n">
        <f aca="false">IF(F23&gt;Inputs!$C$8,1,0)</f>
        <v>1</v>
      </c>
      <c r="M23" s="17" t="n">
        <f aca="false">IFERROR((AK23/AD23)/(BD23/AW23),1)</f>
        <v>1.03018581763612</v>
      </c>
      <c r="N23" s="17" t="n">
        <f aca="false">IFERROR(((AW23-AX23)/AW23)/((AD23-AE23)/AD23),1)</f>
        <v>1.10063270002997</v>
      </c>
      <c r="O23" s="17" t="n">
        <f aca="false">IFERROR((1-(AM23+AO23)/AN23)/(1-(BF23+BH23)/BG23),1)</f>
        <v>0.615860614502399</v>
      </c>
      <c r="P23" s="17" t="n">
        <f aca="false">IFERROR(AD23/AW23,1)</f>
        <v>1.3523493025354</v>
      </c>
      <c r="Q23" s="17" t="n">
        <f aca="false">IFERROR((AZ23/(AZ23+BH23))/(AG23/(AG23+AO23)),1)</f>
        <v>0.771860581411113</v>
      </c>
      <c r="R23" s="17" t="n">
        <f aca="false">IFERROR((AF23/AD23)/(AY23/AW23),1)</f>
        <v>1.13274082666168</v>
      </c>
      <c r="S23" s="17" t="n">
        <f aca="false">IFERROR((AH23-AI23)/AN23,0)</f>
        <v>-0.0215777858779715</v>
      </c>
      <c r="T23" s="17" t="n">
        <f aca="false">IFERROR(((AS23+N(AU23))/AN23)/((BL23+N(BN23))/BG23),1)</f>
        <v>1.03325013187578</v>
      </c>
      <c r="U23" s="17" t="n">
        <f aca="false">IFERROR((((AM23-AP23-N(AQ23))-(AS23-N(AV23))+(AN23-AM23-N(AR23))-(AT23-AS23-N(AU23))+(N(AQ23)+N(AR23))-(N(AU23)+N(AV23)))-((BF23-BI23-N(BJ23))-(BL23-N(BO23))+(BG23-BF23-N(BK23))-(BM23-BL23-N(BN23))+(N(BJ23)+N(BK23))-(N(BN23)+N(BO23))))/((AN23+BG23)/2),0)</f>
        <v>0.039599529323654</v>
      </c>
      <c r="V23" s="17" t="n">
        <f aca="false">IFERROR((AK23-BD23)/((AN23+BG23)/2),0)</f>
        <v>0.0775666093797332</v>
      </c>
      <c r="W23" s="17" t="n">
        <f aca="false">IFERROR((N(AL23)-N(BE23))/((AN23+BG23)/2),0)</f>
        <v>0.0709874917608806</v>
      </c>
      <c r="X23" s="17" t="n">
        <f aca="false">IFERROR((AN23-N(AO23)-AP23)/AN23,0)</f>
        <v>0.823674982551618</v>
      </c>
      <c r="Y23" s="17" t="n">
        <f aca="false">IF(COUNT(BP23,BQ23,BR23,BS23)=4,IFERROR((AD23-(AK23-BD23))/(AW23-(BD23-BP23))-1,0),0)</f>
        <v>0.384117955800395</v>
      </c>
      <c r="Z23" s="17" t="n">
        <f aca="false">IF(COUNT(BP23,BQ23,BR23,BS23)=4,IFERROR(AH23/((AN23+BG23)/2)-BA23/((BG23+BR23)/2),0),0)</f>
        <v>-0.021290818684043</v>
      </c>
      <c r="AA23" s="9" t="n">
        <f aca="false">IF(N(AJ23)&gt;0,1,0)</f>
        <v>1</v>
      </c>
      <c r="AB23" s="17" t="n">
        <f aca="false">Inputs!$C$24+Inputs!$C$25*U23+Inputs!$C$26*V23+Inputs!$C$27*W23+Inputs!$C$28*X23+Inputs!$C$29*Y23+Inputs!$C$30*Z23+Inputs!$C$31*AA23</f>
        <v>-4.83727754280389</v>
      </c>
      <c r="AD23" s="30" t="n">
        <v>3360.492</v>
      </c>
      <c r="AE23" s="30" t="n">
        <v>2930.498</v>
      </c>
      <c r="AF23" s="30" t="n">
        <v>170.176</v>
      </c>
      <c r="AG23" s="30" t="n">
        <v>21.846</v>
      </c>
      <c r="AH23" s="30" t="n">
        <v>46.165</v>
      </c>
      <c r="AI23" s="30" t="n">
        <v>84.347</v>
      </c>
      <c r="AJ23" s="30" t="n">
        <v>107.337</v>
      </c>
      <c r="AK23" s="30" t="n">
        <v>451.393</v>
      </c>
      <c r="AL23" s="30" t="n">
        <v>853.252</v>
      </c>
      <c r="AM23" s="30" t="n">
        <v>1530.878</v>
      </c>
      <c r="AN23" s="30" t="n">
        <v>1769.505</v>
      </c>
      <c r="AO23" s="30" t="n">
        <v>196.631</v>
      </c>
      <c r="AP23" s="30" t="n">
        <v>115.377</v>
      </c>
      <c r="AQ23" s="30" t="s">
        <v>185</v>
      </c>
      <c r="AR23" s="30" t="n">
        <v>1.571</v>
      </c>
      <c r="AS23" s="30" t="n">
        <v>811.557</v>
      </c>
      <c r="AT23" s="30" t="n">
        <v>925.853</v>
      </c>
      <c r="AU23" s="30" t="s">
        <v>185</v>
      </c>
      <c r="AV23" s="30" t="n">
        <v>116.181</v>
      </c>
      <c r="AW23" s="30" t="n">
        <v>2484.929</v>
      </c>
      <c r="AX23" s="30" t="n">
        <v>2134.971</v>
      </c>
      <c r="AY23" s="30" t="n">
        <v>111.091</v>
      </c>
      <c r="AZ23" s="30" t="n">
        <v>16.357</v>
      </c>
      <c r="BA23" s="30" t="n">
        <v>66.854</v>
      </c>
      <c r="BB23" s="30" t="n">
        <v>-96.188</v>
      </c>
      <c r="BC23" s="30" t="n">
        <v>207.029</v>
      </c>
      <c r="BD23" s="30" t="n">
        <v>324.004</v>
      </c>
      <c r="BE23" s="30" t="n">
        <v>736.668</v>
      </c>
      <c r="BF23" s="30" t="n">
        <v>1261.166</v>
      </c>
      <c r="BG23" s="30" t="n">
        <v>1515.13</v>
      </c>
      <c r="BH23" s="30" t="n">
        <v>195.576</v>
      </c>
      <c r="BI23" s="30" t="n">
        <v>110.606</v>
      </c>
      <c r="BJ23" s="30" t="s">
        <v>185</v>
      </c>
      <c r="BK23" s="30" t="n">
        <v>2.625</v>
      </c>
      <c r="BL23" s="30" t="n">
        <v>672.53</v>
      </c>
      <c r="BM23" s="30" t="n">
        <v>741.284</v>
      </c>
      <c r="BN23" s="30" t="n">
        <v>0</v>
      </c>
      <c r="BO23" s="30" t="n">
        <v>161.447</v>
      </c>
      <c r="BP23" s="30" t="n">
        <v>174.933</v>
      </c>
      <c r="BQ23" s="30" t="n">
        <v>2225.022</v>
      </c>
      <c r="BR23" s="30" t="n">
        <v>1191.483</v>
      </c>
      <c r="BS23" s="30" t="n">
        <v>72.081</v>
      </c>
    </row>
    <row r="24" customFormat="false" ht="15" hidden="false" customHeight="false" outlineLevel="0" collapsed="false">
      <c r="B24" s="24" t="n">
        <v>43373</v>
      </c>
      <c r="C24" s="24" t="n">
        <v>43818</v>
      </c>
      <c r="D24" s="25" t="s">
        <v>186</v>
      </c>
      <c r="E24" s="26" t="n">
        <f aca="false">Inputs!$C$13+Inputs!$C$14*M24+Inputs!$C$15*N24+Inputs!$C$16*O24+Inputs!$C$17*P24+Inputs!$C$18*Q24+Inputs!$C$19*R24+Inputs!$C$20*S24+Inputs!$C$21*T24</f>
        <v>-2.31297451715355</v>
      </c>
      <c r="F24" s="26" t="n">
        <f aca="false">EXP(AB24)/(1+EXP(AB24))/Inputs!$C$32</f>
        <v>1.4379946882859</v>
      </c>
      <c r="G24" s="27" t="str">
        <f aca="false">IFERROR((AH24-AI24)/((AN24+BG24)/2),"n/a")</f>
        <v>n/a</v>
      </c>
      <c r="H24" s="28" t="n">
        <f aca="false">IFERROR(AI24/AH24,"n/a")</f>
        <v>1.85385676785354</v>
      </c>
      <c r="I24" s="29" t="n">
        <f aca="false">IFERROR(AK24/AD24*365,"n/a")</f>
        <v>45.5795500976106</v>
      </c>
      <c r="J24" s="29" t="n">
        <f aca="false">IFERROR(N(AL24)/AE24*365,"n/a")</f>
        <v>95.1983086665985</v>
      </c>
      <c r="K24" s="9" t="n">
        <f aca="false">IF(E24&gt;Inputs!$C$7,1,0)</f>
        <v>0</v>
      </c>
      <c r="L24" s="9" t="n">
        <f aca="false">IF(F24&gt;Inputs!$C$8,1,0)</f>
        <v>0</v>
      </c>
      <c r="M24" s="17" t="n">
        <f aca="false">IFERROR((AK24/AD24)/(BD24/AW24),1)</f>
        <v>1</v>
      </c>
      <c r="N24" s="17" t="n">
        <f aca="false">IFERROR(((AW24-AX24)/AW24)/((AD24-AE24)/AD24),1)</f>
        <v>1.02321478280708</v>
      </c>
      <c r="O24" s="17" t="n">
        <f aca="false">IFERROR((1-(AM24+AO24)/AN24)/(1-(BF24+BH24)/BG24),1)</f>
        <v>1</v>
      </c>
      <c r="P24" s="17" t="n">
        <f aca="false">IFERROR(AD24/AW24,1)</f>
        <v>1.35241458444246</v>
      </c>
      <c r="Q24" s="17" t="n">
        <f aca="false">IFERROR((AZ24/(AZ24+BH24))/(AG24/(AG24+AO24)),1)</f>
        <v>1</v>
      </c>
      <c r="R24" s="17" t="n">
        <f aca="false">IFERROR((AF24/AD24)/(AY24/AW24),1)</f>
        <v>1.13409924067615</v>
      </c>
      <c r="S24" s="17" t="n">
        <f aca="false">IFERROR((AH24-AI24)/AN24,0)</f>
        <v>-0.0291773161791131</v>
      </c>
      <c r="T24" s="17" t="n">
        <f aca="false">IFERROR(((AS24+N(AU24))/AN24)/((BL24+N(BN24))/BG24),1)</f>
        <v>1</v>
      </c>
      <c r="U24" s="17" t="n">
        <f aca="false">IFERROR((((AM24-AP24-N(AQ24))-(AS24-N(AV24))+(AN24-AM24-N(AR24))-(AT24-AS24-N(AU24))+(N(AQ24)+N(AR24))-(N(AU24)+N(AV24)))-((BF24-BI24-N(BJ24))-(BL24-N(BO24))+(BG24-BF24-N(BK24))-(BM24-BL24-N(BN24))+(N(BJ24)+N(BK24))-(N(BN24)+N(BO24))))/((AN24+BG24)/2),0)</f>
        <v>0</v>
      </c>
      <c r="V24" s="17" t="n">
        <f aca="false">IFERROR((AK24-BD24)/((AN24+BG24)/2),0)</f>
        <v>0</v>
      </c>
      <c r="W24" s="17" t="n">
        <f aca="false">IFERROR((N(AL24)-N(BE24))/((AN24+BG24)/2),0)</f>
        <v>0</v>
      </c>
      <c r="X24" s="17" t="n">
        <f aca="false">IFERROR((AN24-N(AO24)-AP24)/AN24,0)</f>
        <v>0.82524602889384</v>
      </c>
      <c r="Y24" s="17" t="n">
        <f aca="false">IF(COUNT(BP24,BQ24,BR24,BS24)=4,IFERROR((AD24-(AK24-BD24))/(AW24-(BD24-BP24))-1,0),0)</f>
        <v>0</v>
      </c>
      <c r="Z24" s="17" t="n">
        <f aca="false">IF(COUNT(BP24,BQ24,BR24,BS24)=4,IFERROR(AH24/((AN24+BG24)/2)-BA24/((BG24+BR24)/2),0),0)</f>
        <v>0</v>
      </c>
      <c r="AA24" s="9" t="n">
        <f aca="false">IF(N(AJ24)&gt;0,1,0)</f>
        <v>1</v>
      </c>
      <c r="AB24" s="17" t="n">
        <f aca="false">Inputs!$C$24+Inputs!$C$25*U24+Inputs!$C$26*V24+Inputs!$C$27*W24+Inputs!$C$28*X24+Inputs!$C$29*Y24+Inputs!$C$30*Z24+Inputs!$C$31*AA24</f>
        <v>-5.23083810881909</v>
      </c>
      <c r="AD24" s="30" t="n">
        <v>3614.873</v>
      </c>
      <c r="AE24" s="30" t="n">
        <v>3147.694</v>
      </c>
      <c r="AF24" s="30" t="n">
        <v>185.861</v>
      </c>
      <c r="AG24" s="30" t="n">
        <v>23.19</v>
      </c>
      <c r="AH24" s="30" t="n">
        <v>59.428</v>
      </c>
      <c r="AI24" s="30" t="n">
        <v>110.171</v>
      </c>
      <c r="AJ24" s="30" t="n">
        <v>88.437</v>
      </c>
      <c r="AK24" s="30" t="n">
        <v>451.409</v>
      </c>
      <c r="AL24" s="30" t="n">
        <v>820.973</v>
      </c>
      <c r="AM24" s="30" t="n">
        <v>1495.69</v>
      </c>
      <c r="AN24" s="30" t="n">
        <v>1739.125</v>
      </c>
      <c r="AO24" s="30" t="n">
        <v>198.158</v>
      </c>
      <c r="AP24" s="30" t="n">
        <v>105.761</v>
      </c>
      <c r="AQ24" s="30" t="s">
        <v>185</v>
      </c>
      <c r="AR24" s="30" t="n">
        <v>1.571</v>
      </c>
      <c r="AS24" s="30" t="n">
        <v>738.882</v>
      </c>
      <c r="AT24" s="30" t="n">
        <v>863.833</v>
      </c>
      <c r="AU24" s="30" t="s">
        <v>185</v>
      </c>
      <c r="AV24" s="30" t="n">
        <v>79.299</v>
      </c>
      <c r="AW24" s="30" t="n">
        <v>2672.903</v>
      </c>
      <c r="AX24" s="30" t="n">
        <v>2319.443</v>
      </c>
      <c r="AY24" s="30" t="n">
        <v>121.179</v>
      </c>
      <c r="AZ24" s="30" t="n">
        <v>17.157</v>
      </c>
      <c r="BA24" s="30" t="n">
        <v>57.56</v>
      </c>
      <c r="BB24" s="30" t="n">
        <v>-73.509</v>
      </c>
      <c r="BC24" s="30" t="n">
        <v>177.913</v>
      </c>
      <c r="BD24" s="30" t="s">
        <v>185</v>
      </c>
      <c r="BE24" s="30" t="s">
        <v>185</v>
      </c>
      <c r="BF24" s="30" t="s">
        <v>185</v>
      </c>
      <c r="BG24" s="30" t="s">
        <v>185</v>
      </c>
      <c r="BH24" s="30" t="s">
        <v>185</v>
      </c>
      <c r="BI24" s="30" t="s">
        <v>185</v>
      </c>
      <c r="BJ24" s="30" t="s">
        <v>185</v>
      </c>
      <c r="BK24" s="30" t="s">
        <v>185</v>
      </c>
      <c r="BL24" s="30" t="s">
        <v>185</v>
      </c>
      <c r="BM24" s="30" t="s">
        <v>185</v>
      </c>
      <c r="BN24" s="30" t="s">
        <v>185</v>
      </c>
      <c r="BO24" s="30" t="s">
        <v>185</v>
      </c>
      <c r="BP24" s="30" t="n">
        <v>216.165</v>
      </c>
      <c r="BQ24" s="30" t="n">
        <v>2214.681</v>
      </c>
      <c r="BR24" s="30" t="n">
        <v>1265.575</v>
      </c>
      <c r="BS24" s="30" t="n">
        <v>70.103</v>
      </c>
    </row>
    <row r="25" customFormat="false" ht="15" hidden="false" customHeight="false" outlineLevel="0" collapsed="false">
      <c r="B25" s="24" t="n">
        <v>43465</v>
      </c>
      <c r="C25" s="24" t="n">
        <v>43818</v>
      </c>
      <c r="D25" s="25" t="s">
        <v>186</v>
      </c>
      <c r="E25" s="26" t="n">
        <f aca="false">Inputs!$C$13+Inputs!$C$14*M25+Inputs!$C$15*N25+Inputs!$C$16*O25+Inputs!$C$17*P25+Inputs!$C$18*Q25+Inputs!$C$19*R25+Inputs!$C$20*S25+Inputs!$C$21*T25</f>
        <v>-2.42529603798746</v>
      </c>
      <c r="F25" s="26" t="n">
        <f aca="false">EXP(AB25)/(1+EXP(AB25))/Inputs!$C$32</f>
        <v>1.43045222797082</v>
      </c>
      <c r="G25" s="27" t="str">
        <f aca="false">IFERROR((AH25-AI25)/((AN25+BG25)/2),"n/a")</f>
        <v>n/a</v>
      </c>
      <c r="H25" s="28" t="n">
        <f aca="false">IFERROR(AI25/AH25,"n/a")</f>
        <v>1.90274253802706</v>
      </c>
      <c r="I25" s="29" t="n">
        <f aca="false">IFERROR(AK25/AD25*365,"n/a")</f>
        <v>42.1558724944541</v>
      </c>
      <c r="J25" s="29" t="n">
        <f aca="false">IFERROR(N(AL25)/AE25*365,"n/a")</f>
        <v>93.6985571481292</v>
      </c>
      <c r="K25" s="9" t="n">
        <f aca="false">IF(E25&gt;Inputs!$C$7,1,0)</f>
        <v>0</v>
      </c>
      <c r="L25" s="9" t="n">
        <f aca="false">IF(F25&gt;Inputs!$C$8,1,0)</f>
        <v>0</v>
      </c>
      <c r="M25" s="17" t="n">
        <f aca="false">IFERROR((AK25/AD25)/(BD25/AW25),1)</f>
        <v>1</v>
      </c>
      <c r="N25" s="17" t="n">
        <f aca="false">IFERROR(((AW25-AX25)/AW25)/((AD25-AE25)/AD25),1)</f>
        <v>0.972566906270607</v>
      </c>
      <c r="O25" s="17" t="n">
        <f aca="false">IFERROR((1-(AM25+AO25)/AN25)/(1-(BF25+BH25)/BG25),1)</f>
        <v>1</v>
      </c>
      <c r="P25" s="17" t="n">
        <f aca="false">IFERROR(AD25/AW25,1)</f>
        <v>1.31117755014126</v>
      </c>
      <c r="Q25" s="17" t="n">
        <f aca="false">IFERROR((AZ25/(AZ25+BH25))/(AG25/(AG25+AO25)),1)</f>
        <v>1</v>
      </c>
      <c r="R25" s="17" t="n">
        <f aca="false">IFERROR((AF25/AD25)/(AY25/AW25),1)</f>
        <v>1.10211125697294</v>
      </c>
      <c r="S25" s="17" t="n">
        <f aca="false">IFERROR((AH25-AI25)/AN25,0)</f>
        <v>-0.0407819198600111</v>
      </c>
      <c r="T25" s="17" t="n">
        <f aca="false">IFERROR(((AS25+N(AU25))/AN25)/((BL25+N(BN25))/BG25),1)</f>
        <v>1</v>
      </c>
      <c r="U25" s="17" t="n">
        <f aca="false">IFERROR((((AM25-AP25-N(AQ25))-(AS25-N(AV25))+(AN25-AM25-N(AR25))-(AT25-AS25-N(AU25))+(N(AQ25)+N(AR25))-(N(AU25)+N(AV25)))-((BF25-BI25-N(BJ25))-(BL25-N(BO25))+(BG25-BF25-N(BK25))-(BM25-BL25-N(BN25))+(N(BJ25)+N(BK25))-(N(BN25)+N(BO25))))/((AN25+BG25)/2),0)</f>
        <v>0</v>
      </c>
      <c r="V25" s="17" t="n">
        <f aca="false">IFERROR((AK25-BD25)/((AN25+BG25)/2),0)</f>
        <v>0</v>
      </c>
      <c r="W25" s="17" t="n">
        <f aca="false">IFERROR((N(AL25)-N(BE25))/((AN25+BG25)/2),0)</f>
        <v>0</v>
      </c>
      <c r="X25" s="17" t="n">
        <f aca="false">IFERROR((AN25-N(AO25)-AP25)/AN25,0)</f>
        <v>0.822574485769268</v>
      </c>
      <c r="Y25" s="17" t="n">
        <f aca="false">IF(COUNT(BP25,BQ25,BR25,BS25)=4,IFERROR((AD25-(AK25-BD25))/(AW25-(BD25-BP25))-1,0),0)</f>
        <v>0</v>
      </c>
      <c r="Z25" s="17" t="n">
        <f aca="false">IF(COUNT(BP25,BQ25,BR25,BS25)=4,IFERROR(AH25/((AN25+BG25)/2)-BA25/((BG25+BR25)/2),0),0)</f>
        <v>0</v>
      </c>
      <c r="AA25" s="9" t="n">
        <f aca="false">IF(N(AJ25)&gt;0,1,0)</f>
        <v>1</v>
      </c>
      <c r="AB25" s="17" t="n">
        <f aca="false">Inputs!$C$24+Inputs!$C$25*U25+Inputs!$C$26*V25+Inputs!$C$27*W25+Inputs!$C$28*X25+Inputs!$C$29*Y25+Inputs!$C$30*Z25+Inputs!$C$31*AA25</f>
        <v>-5.23612509266262</v>
      </c>
      <c r="AD25" s="30" t="n">
        <v>3719.399</v>
      </c>
      <c r="AE25" s="30" t="n">
        <v>3229.992</v>
      </c>
      <c r="AF25" s="30" t="n">
        <v>198.663</v>
      </c>
      <c r="AG25" s="30" t="n">
        <v>23.751</v>
      </c>
      <c r="AH25" s="30" t="n">
        <v>78.431</v>
      </c>
      <c r="AI25" s="30" t="n">
        <v>149.234</v>
      </c>
      <c r="AJ25" s="30" t="n">
        <v>81.997</v>
      </c>
      <c r="AK25" s="30" t="n">
        <v>429.574</v>
      </c>
      <c r="AL25" s="30" t="n">
        <v>829.166</v>
      </c>
      <c r="AM25" s="30" t="n">
        <v>1490.633</v>
      </c>
      <c r="AN25" s="30" t="n">
        <v>1736.137</v>
      </c>
      <c r="AO25" s="30" t="n">
        <v>198.252</v>
      </c>
      <c r="AP25" s="30" t="n">
        <v>109.783</v>
      </c>
      <c r="AQ25" s="30" t="s">
        <v>185</v>
      </c>
      <c r="AR25" s="30" t="n">
        <v>1.571</v>
      </c>
      <c r="AS25" s="30" t="n">
        <v>708.194</v>
      </c>
      <c r="AT25" s="30" t="n">
        <v>837.926</v>
      </c>
      <c r="AU25" s="30" t="s">
        <v>185</v>
      </c>
      <c r="AV25" s="30" t="n">
        <v>48.172</v>
      </c>
      <c r="AW25" s="30" t="n">
        <v>2836.686</v>
      </c>
      <c r="AX25" s="30" t="n">
        <v>2473.668</v>
      </c>
      <c r="AY25" s="30" t="n">
        <v>137.477</v>
      </c>
      <c r="AZ25" s="30" t="n">
        <v>18.85</v>
      </c>
      <c r="BA25" s="30" t="n">
        <v>33.901</v>
      </c>
      <c r="BB25" s="30" t="n">
        <v>-24.772</v>
      </c>
      <c r="BC25" s="30" t="n">
        <v>144.013</v>
      </c>
      <c r="BD25" s="30" t="s">
        <v>185</v>
      </c>
      <c r="BE25" s="30" t="s">
        <v>185</v>
      </c>
      <c r="BF25" s="30" t="s">
        <v>185</v>
      </c>
      <c r="BG25" s="30" t="s">
        <v>185</v>
      </c>
      <c r="BH25" s="30" t="s">
        <v>185</v>
      </c>
      <c r="BI25" s="30" t="s">
        <v>185</v>
      </c>
      <c r="BJ25" s="30" t="s">
        <v>185</v>
      </c>
      <c r="BK25" s="30" t="s">
        <v>185</v>
      </c>
      <c r="BL25" s="30" t="s">
        <v>185</v>
      </c>
      <c r="BM25" s="30" t="s">
        <v>185</v>
      </c>
      <c r="BN25" s="30" t="s">
        <v>185</v>
      </c>
      <c r="BO25" s="30" t="s">
        <v>185</v>
      </c>
      <c r="BP25" s="30" t="n">
        <v>249.614</v>
      </c>
      <c r="BQ25" s="30" t="n">
        <v>2236.646</v>
      </c>
      <c r="BR25" s="30" t="n">
        <v>1398.061</v>
      </c>
      <c r="BS25" s="30" t="n">
        <v>59.775</v>
      </c>
    </row>
    <row r="26" customFormat="false" ht="15" hidden="false" customHeight="false" outlineLevel="0" collapsed="false">
      <c r="B26" s="24" t="n">
        <v>43555</v>
      </c>
      <c r="C26" s="24" t="n">
        <v>43818</v>
      </c>
      <c r="D26" s="25" t="s">
        <v>186</v>
      </c>
      <c r="E26" s="26" t="n">
        <f aca="false">Inputs!$C$13+Inputs!$C$14*M26+Inputs!$C$15*N26+Inputs!$C$16*O26+Inputs!$C$17*P26+Inputs!$C$18*Q26+Inputs!$C$19*R26+Inputs!$C$20*S26+Inputs!$C$21*T26</f>
        <v>-2.88392859611968</v>
      </c>
      <c r="F26" s="26" t="n">
        <f aca="false">EXP(AB26)/(1+EXP(AB26))/Inputs!$C$32</f>
        <v>1.28424214986395</v>
      </c>
      <c r="G26" s="27" t="str">
        <f aca="false">IFERROR((AH26-AI26)/((AN26+BG26)/2),"n/a")</f>
        <v>n/a</v>
      </c>
      <c r="H26" s="28" t="n">
        <f aca="false">IFERROR(AI26/AH26,"n/a")</f>
        <v>3.29827340834027</v>
      </c>
      <c r="I26" s="29" t="n">
        <f aca="false">IFERROR(AK26/AD26*365,"n/a")</f>
        <v>32.9370376659276</v>
      </c>
      <c r="J26" s="29" t="n">
        <f aca="false">IFERROR(N(AL26)/AE26*365,"n/a")</f>
        <v>88.7001332387816</v>
      </c>
      <c r="K26" s="9" t="n">
        <f aca="false">IF(E26&gt;Inputs!$C$7,1,0)</f>
        <v>0</v>
      </c>
      <c r="L26" s="9" t="n">
        <f aca="false">IF(F26&gt;Inputs!$C$8,1,0)</f>
        <v>0</v>
      </c>
      <c r="M26" s="17" t="n">
        <f aca="false">IFERROR((AK26/AD26)/(BD26/AW26),1)</f>
        <v>1</v>
      </c>
      <c r="N26" s="17" t="n">
        <f aca="false">IFERROR(((AW26-AX26)/AW26)/((AD26-AE26)/AD26),1)</f>
        <v>0.918124689422997</v>
      </c>
      <c r="O26" s="17" t="n">
        <f aca="false">IFERROR((1-(AM26+AO26)/AN26)/(1-(BF26+BH26)/BG26),1)</f>
        <v>1</v>
      </c>
      <c r="P26" s="17" t="n">
        <f aca="false">IFERROR(AD26/AW26,1)</f>
        <v>1.18671585653638</v>
      </c>
      <c r="Q26" s="17" t="n">
        <f aca="false">IFERROR((AZ26/(AZ26+BH26))/(AG26/(AG26+AO26)),1)</f>
        <v>1</v>
      </c>
      <c r="R26" s="17" t="n">
        <f aca="false">IFERROR((AF26/AD26)/(AY26/AW26),1)</f>
        <v>1.16809982967286</v>
      </c>
      <c r="S26" s="17" t="n">
        <f aca="false">IFERROR((AH26-AI26)/AN26,0)</f>
        <v>-0.106504767142925</v>
      </c>
      <c r="T26" s="17" t="n">
        <f aca="false">IFERROR(((AS26+N(AU26))/AN26)/((BL26+N(BN26))/BG26),1)</f>
        <v>1</v>
      </c>
      <c r="U26" s="17" t="n">
        <f aca="false">IFERROR((((AM26-AP26-N(AQ26))-(AS26-N(AV26))+(AN26-AM26-N(AR26))-(AT26-AS26-N(AU26))+(N(AQ26)+N(AR26))-(N(AU26)+N(AV26)))-((BF26-BI26-N(BJ26))-(BL26-N(BO26))+(BG26-BF26-N(BK26))-(BM26-BL26-N(BN26))+(N(BJ26)+N(BK26))-(N(BN26)+N(BO26))))/((AN26+BG26)/2),0)</f>
        <v>0</v>
      </c>
      <c r="V26" s="17" t="n">
        <f aca="false">IFERROR((AK26-BD26)/((AN26+BG26)/2),0)</f>
        <v>0</v>
      </c>
      <c r="W26" s="17" t="n">
        <f aca="false">IFERROR((N(AL26)-N(BE26))/((AN26+BG26)/2),0)</f>
        <v>0</v>
      </c>
      <c r="X26" s="17" t="n">
        <f aca="false">IFERROR((AN26-N(AO26)-AP26)/AN26,0)</f>
        <v>0.767816745600565</v>
      </c>
      <c r="Y26" s="17" t="n">
        <f aca="false">IF(COUNT(BP26,BQ26,BR26,BS26)=4,IFERROR((AD26-(AK26-BD26))/(AW26-(BD26-BP26))-1,0),0)</f>
        <v>0</v>
      </c>
      <c r="Z26" s="17" t="n">
        <f aca="false">IF(COUNT(BP26,BQ26,BR26,BS26)=4,IFERROR(AH26/((AN26+BG26)/2)-BA26/((BG26+BR26)/2),0),0)</f>
        <v>0</v>
      </c>
      <c r="AA26" s="9" t="n">
        <f aca="false">IF(N(AJ26)&gt;0,1,0)</f>
        <v>1</v>
      </c>
      <c r="AB26" s="17" t="n">
        <f aca="false">Inputs!$C$24+Inputs!$C$25*U26+Inputs!$C$26*V26+Inputs!$C$27*W26+Inputs!$C$28*X26+Inputs!$C$29*Y26+Inputs!$C$30*Z26+Inputs!$C$31*AA26</f>
        <v>-5.34449066045648</v>
      </c>
      <c r="AD26" s="30" t="n">
        <v>3627.788</v>
      </c>
      <c r="AE26" s="30" t="n">
        <v>3131.971</v>
      </c>
      <c r="AF26" s="30" t="n">
        <v>210.883</v>
      </c>
      <c r="AG26" s="30" t="n">
        <v>23.845</v>
      </c>
      <c r="AH26" s="30" t="n">
        <v>74.482</v>
      </c>
      <c r="AI26" s="30" t="n">
        <v>245.662</v>
      </c>
      <c r="AJ26" s="30" t="n">
        <v>41.76</v>
      </c>
      <c r="AK26" s="30" t="n">
        <v>327.366</v>
      </c>
      <c r="AL26" s="30" t="n">
        <v>761.113</v>
      </c>
      <c r="AM26" s="30" t="n">
        <v>1356.071</v>
      </c>
      <c r="AN26" s="30" t="n">
        <v>1607.252</v>
      </c>
      <c r="AO26" s="30" t="n">
        <v>203.442</v>
      </c>
      <c r="AP26" s="30" t="n">
        <v>169.735</v>
      </c>
      <c r="AQ26" s="30" t="s">
        <v>185</v>
      </c>
      <c r="AR26" s="30" t="s">
        <v>185</v>
      </c>
      <c r="AS26" s="30" t="n">
        <v>564.069</v>
      </c>
      <c r="AT26" s="30" t="n">
        <v>694.094</v>
      </c>
      <c r="AU26" s="30" t="s">
        <v>185</v>
      </c>
      <c r="AV26" s="30" t="n">
        <v>22.66</v>
      </c>
      <c r="AW26" s="30" t="n">
        <v>3056.998</v>
      </c>
      <c r="AX26" s="30" t="n">
        <v>2673.4</v>
      </c>
      <c r="AY26" s="30" t="n">
        <v>152.13</v>
      </c>
      <c r="AZ26" s="30" t="n">
        <v>20.775</v>
      </c>
      <c r="BA26" s="30" t="n">
        <v>33.146</v>
      </c>
      <c r="BB26" s="30" t="n">
        <v>13.684</v>
      </c>
      <c r="BC26" s="30" t="n">
        <v>143.95</v>
      </c>
      <c r="BD26" s="30" t="s">
        <v>185</v>
      </c>
      <c r="BE26" s="30" t="s">
        <v>185</v>
      </c>
      <c r="BF26" s="30" t="s">
        <v>185</v>
      </c>
      <c r="BG26" s="30" t="s">
        <v>185</v>
      </c>
      <c r="BH26" s="30" t="s">
        <v>185</v>
      </c>
      <c r="BI26" s="30" t="s">
        <v>185</v>
      </c>
      <c r="BJ26" s="30" t="s">
        <v>185</v>
      </c>
      <c r="BK26" s="30" t="s">
        <v>185</v>
      </c>
      <c r="BL26" s="30" t="s">
        <v>185</v>
      </c>
      <c r="BM26" s="30" t="s">
        <v>185</v>
      </c>
      <c r="BN26" s="30" t="s">
        <v>185</v>
      </c>
      <c r="BO26" s="30" t="s">
        <v>185</v>
      </c>
      <c r="BP26" s="30" t="n">
        <v>270.736</v>
      </c>
      <c r="BQ26" s="30" t="n">
        <v>2337.976</v>
      </c>
      <c r="BR26" s="30" t="n">
        <v>1455.132</v>
      </c>
      <c r="BS26" s="30" t="n">
        <v>59.079</v>
      </c>
    </row>
    <row r="27" customFormat="false" ht="15" hidden="false" customHeight="false" outlineLevel="0" collapsed="false">
      <c r="B27" s="24" t="n">
        <v>43646</v>
      </c>
      <c r="C27" s="24" t="n">
        <v>43818</v>
      </c>
      <c r="D27" s="25" t="s">
        <v>184</v>
      </c>
      <c r="E27" s="26" t="n">
        <f aca="false">Inputs!$C$13+Inputs!$C$14*M27+Inputs!$C$15*N27+Inputs!$C$16*O27+Inputs!$C$17*P27+Inputs!$C$18*Q27+Inputs!$C$19*R27+Inputs!$C$20*S27+Inputs!$C$21*T27</f>
        <v>-3.01110560560667</v>
      </c>
      <c r="F27" s="26" t="n">
        <f aca="false">EXP(AB27)/(1+EXP(AB27))/Inputs!$C$32</f>
        <v>0.954057686587316</v>
      </c>
      <c r="G27" s="27" t="n">
        <f aca="false">IFERROR((AH27-AI27)/((AN27+BG27)/2),"n/a")</f>
        <v>-0.110446426941985</v>
      </c>
      <c r="H27" s="28" t="n">
        <f aca="false">IFERROR(AI27/AH27,"n/a")</f>
        <v>3.6507411218332</v>
      </c>
      <c r="I27" s="29" t="n">
        <f aca="false">IFERROR(AK27/AD27*365,"n/a")</f>
        <v>41.0451382143551</v>
      </c>
      <c r="J27" s="29" t="n">
        <f aca="false">IFERROR(N(AL27)/AE27*365,"n/a")</f>
        <v>81.4082556197705</v>
      </c>
      <c r="K27" s="9" t="n">
        <f aca="false">IF(E27&gt;Inputs!$C$7,1,0)</f>
        <v>0</v>
      </c>
      <c r="L27" s="9" t="n">
        <f aca="false">IF(F27&gt;Inputs!$C$8,1,0)</f>
        <v>0</v>
      </c>
      <c r="M27" s="17" t="n">
        <f aca="false">IFERROR((AK27/AD27)/(BD27/AW27),1)</f>
        <v>0.837176258905785</v>
      </c>
      <c r="N27" s="17" t="n">
        <f aca="false">IFERROR(((AW27-AX27)/AW27)/((AD27-AE27)/AD27),1)</f>
        <v>0.903876928627259</v>
      </c>
      <c r="O27" s="17" t="n">
        <f aca="false">IFERROR((1-(AM27+AO27)/AN27)/(1-(BF27+BH27)/BG27),1)</f>
        <v>1.33938259528745</v>
      </c>
      <c r="P27" s="17" t="n">
        <f aca="false">IFERROR(AD27/AW27,1)</f>
        <v>1.04162128640687</v>
      </c>
      <c r="Q27" s="17" t="n">
        <f aca="false">IFERROR((AZ27/(AZ27+BH27))/(AG27/(AG27+AO27)),1)</f>
        <v>0.956619220013086</v>
      </c>
      <c r="R27" s="17" t="n">
        <f aca="false">IFERROR((AF27/AD27)/(AY27/AW27),1)</f>
        <v>1.23199425105551</v>
      </c>
      <c r="S27" s="17" t="n">
        <f aca="false">IFERROR((AH27-AI27)/AN27,0)</f>
        <v>-0.113298870672307</v>
      </c>
      <c r="T27" s="17" t="n">
        <f aca="false">IFERROR(((AS27+N(AU27))/AN27)/((BL27+N(BN27))/BG27),1)</f>
        <v>0.785242572876068</v>
      </c>
      <c r="U27" s="17" t="n">
        <f aca="false">IFERROR((((AM27-AP27-N(AQ27))-(AS27-N(AV27))+(AN27-AM27-N(AR27))-(AT27-AS27-N(AU27))+(N(AQ27)+N(AR27))-(N(AU27)+N(AV27)))-((BF27-BI27-N(BJ27))-(BL27-N(BO27))+(BG27-BF27-N(BK27))-(BM27-BL27-N(BN27))+(N(BJ27)+N(BK27))-(N(BN27)+N(BO27))))/((AN27+BG27)/2),0)</f>
        <v>-0.02042988917757</v>
      </c>
      <c r="V27" s="17" t="n">
        <f aca="false">IFERROR((AK27-BD27)/((AN27+BG27)/2),0)</f>
        <v>-0.0334689126818205</v>
      </c>
      <c r="W27" s="17" t="n">
        <f aca="false">IFERROR((N(AL27)-N(BE27))/((AN27+BG27)/2),0)</f>
        <v>-0.106059530737676</v>
      </c>
      <c r="X27" s="17" t="n">
        <f aca="false">IFERROR((AN27-N(AO27)-AP27)/AN27,0)</f>
        <v>0.729286446997909</v>
      </c>
      <c r="Y27" s="17" t="n">
        <f aca="false">IF(COUNT(BP27,BQ27,BR27,BS27)=4,IFERROR((AD27-(AK27-BD27))/(AW27-(BD27-BP27))-1,0),0)</f>
        <v>0.100530666669141</v>
      </c>
      <c r="Z27" s="17" t="n">
        <f aca="false">IF(COUNT(BP27,BQ27,BR27,BS27)=4,IFERROR(AH27/((AN27+BG27)/2)-BA27/((BG27+BR27)/2),0),0)</f>
        <v>0.0135565760208408</v>
      </c>
      <c r="AA27" s="9" t="n">
        <f aca="false">IF(N(AJ27)&gt;0,1,0)</f>
        <v>1</v>
      </c>
      <c r="AB27" s="17" t="n">
        <f aca="false">Inputs!$C$24+Inputs!$C$25*U27+Inputs!$C$26*V27+Inputs!$C$27*W27+Inputs!$C$28*X27+Inputs!$C$29*Y27+Inputs!$C$30*Z27+Inputs!$C$31*AA27</f>
        <v>-5.64291734193382</v>
      </c>
      <c r="AD27" s="30" t="n">
        <v>3500.36</v>
      </c>
      <c r="AE27" s="30" t="n">
        <v>3004.838</v>
      </c>
      <c r="AF27" s="30" t="n">
        <v>218.382</v>
      </c>
      <c r="AG27" s="30" t="n">
        <v>24.202</v>
      </c>
      <c r="AH27" s="30" t="n">
        <v>71.918</v>
      </c>
      <c r="AI27" s="30" t="n">
        <v>262.554</v>
      </c>
      <c r="AJ27" s="30" t="n">
        <v>41.76</v>
      </c>
      <c r="AK27" s="30" t="n">
        <v>393.624</v>
      </c>
      <c r="AL27" s="30" t="n">
        <v>670.188</v>
      </c>
      <c r="AM27" s="30" t="n">
        <v>1421.771</v>
      </c>
      <c r="AN27" s="30" t="n">
        <v>1682.594</v>
      </c>
      <c r="AO27" s="30" t="n">
        <v>207.337</v>
      </c>
      <c r="AP27" s="30" t="n">
        <v>248.164</v>
      </c>
      <c r="AQ27" s="30" t="s">
        <v>185</v>
      </c>
      <c r="AR27" s="30" t="n">
        <v>1.571</v>
      </c>
      <c r="AS27" s="30" t="n">
        <v>605.969</v>
      </c>
      <c r="AT27" s="30" t="n">
        <v>741.418</v>
      </c>
      <c r="AU27" s="30" t="s">
        <v>185</v>
      </c>
      <c r="AV27" s="30" t="n">
        <v>23.647</v>
      </c>
      <c r="AW27" s="30" t="n">
        <v>3360.492</v>
      </c>
      <c r="AX27" s="30" t="n">
        <v>2930.498</v>
      </c>
      <c r="AY27" s="30" t="n">
        <v>170.176</v>
      </c>
      <c r="AZ27" s="30" t="n">
        <v>21.846</v>
      </c>
      <c r="BA27" s="30" t="n">
        <v>46.165</v>
      </c>
      <c r="BB27" s="30" t="n">
        <v>84.347</v>
      </c>
      <c r="BC27" s="30" t="n">
        <v>107.337</v>
      </c>
      <c r="BD27" s="30" t="n">
        <v>451.393</v>
      </c>
      <c r="BE27" s="30" t="n">
        <v>853.252</v>
      </c>
      <c r="BF27" s="30" t="n">
        <v>1530.878</v>
      </c>
      <c r="BG27" s="30" t="n">
        <v>1769.505</v>
      </c>
      <c r="BH27" s="30" t="n">
        <v>196.631</v>
      </c>
      <c r="BI27" s="30" t="n">
        <v>115.377</v>
      </c>
      <c r="BJ27" s="30" t="s">
        <v>185</v>
      </c>
      <c r="BK27" s="30" t="n">
        <v>1.571</v>
      </c>
      <c r="BL27" s="30" t="n">
        <v>811.557</v>
      </c>
      <c r="BM27" s="30" t="n">
        <v>925.853</v>
      </c>
      <c r="BN27" s="30" t="s">
        <v>185</v>
      </c>
      <c r="BO27" s="30" t="n">
        <v>116.181</v>
      </c>
      <c r="BP27" s="30" t="n">
        <v>324.004</v>
      </c>
      <c r="BQ27" s="30" t="n">
        <v>2484.929</v>
      </c>
      <c r="BR27" s="30" t="n">
        <v>1515.13</v>
      </c>
      <c r="BS27" s="30" t="n">
        <v>66.854</v>
      </c>
    </row>
    <row r="28" customFormat="false" ht="15" hidden="false" customHeight="false" outlineLevel="0" collapsed="false">
      <c r="B28" s="24" t="n">
        <v>43738</v>
      </c>
      <c r="C28" s="24" t="n">
        <v>43819</v>
      </c>
      <c r="D28" s="25" t="s">
        <v>184</v>
      </c>
      <c r="E28" s="26" t="n">
        <f aca="false">Inputs!$C$13+Inputs!$C$14*M28+Inputs!$C$15*N28+Inputs!$C$16*O28+Inputs!$C$17*P28+Inputs!$C$18*Q28+Inputs!$C$19*R28+Inputs!$C$20*S28+Inputs!$C$21*T28</f>
        <v>-2.93936749188605</v>
      </c>
      <c r="F28" s="26" t="n">
        <f aca="false">EXP(AB28)/(1+EXP(AB28))/Inputs!$C$32</f>
        <v>0.937181823495386</v>
      </c>
      <c r="G28" s="27" t="n">
        <f aca="false">IFERROR((AH28-AI28)/((AN28+BG28)/2),"n/a")</f>
        <v>-0.0880892268859591</v>
      </c>
      <c r="H28" s="28" t="n">
        <f aca="false">IFERROR(AI28/AH28,"n/a")</f>
        <v>2.92003395800864</v>
      </c>
      <c r="I28" s="29" t="n">
        <f aca="false">IFERROR(AK28/AD28*365,"n/a")</f>
        <v>39.0574206544458</v>
      </c>
      <c r="J28" s="29" t="n">
        <f aca="false">IFERROR(N(AL28)/AE28*365,"n/a")</f>
        <v>88.5081413133256</v>
      </c>
      <c r="K28" s="9" t="n">
        <f aca="false">IF(E28&gt;Inputs!$C$7,1,0)</f>
        <v>0</v>
      </c>
      <c r="L28" s="9" t="n">
        <f aca="false">IF(F28&gt;Inputs!$C$8,1,0)</f>
        <v>0</v>
      </c>
      <c r="M28" s="17" t="n">
        <f aca="false">IFERROR((AK28/AD28)/(BD28/AW28),1)</f>
        <v>0.856906673514823</v>
      </c>
      <c r="N28" s="17" t="n">
        <f aca="false">IFERROR(((AW28-AX28)/AW28)/((AD28-AE28)/AD28),1)</f>
        <v>0.854986142532635</v>
      </c>
      <c r="O28" s="17" t="n">
        <f aca="false">IFERROR((1-(AM28+AO28)/AN28)/(1-(BF28+BH28)/BG28),1)</f>
        <v>1.54550933072036</v>
      </c>
      <c r="P28" s="17" t="n">
        <f aca="false">IFERROR(AD28/AW28,1)</f>
        <v>0.9209302788784</v>
      </c>
      <c r="Q28" s="17" t="n">
        <f aca="false">IFERROR((AZ28/(AZ28+BH28))/(AG28/(AG28+AO28)),1)</f>
        <v>0.992330657008163</v>
      </c>
      <c r="R28" s="17" t="n">
        <f aca="false">IFERROR((AF28/AD28)/(AY28/AW28),1)</f>
        <v>1.25681051408328</v>
      </c>
      <c r="S28" s="17" t="n">
        <f aca="false">IFERROR((AH28-AI28)/AN28,0)</f>
        <v>-0.0890691852512795</v>
      </c>
      <c r="T28" s="17" t="n">
        <f aca="false">IFERROR(((AS28+N(AU28))/AN28)/((BL28+N(BN28))/BG28),1)</f>
        <v>0.814072759909335</v>
      </c>
      <c r="U28" s="17" t="n">
        <f aca="false">IFERROR((((AM28-AP28-N(AQ28))-(AS28-N(AV28))+(AN28-AM28-N(AR28))-(AT28-AS28-N(AU28))+(N(AQ28)+N(AR28))-(N(AU28)+N(AV28)))-((BF28-BI28-N(BJ28))-(BL28-N(BO28))+(BG28-BF28-N(BK28))-(BM28-BL28-N(BN28))+(N(BJ28)+N(BK28))-(N(BN28)+N(BO28))))/((AN28+BG28)/2),0)</f>
        <v>-0.0214946061473121</v>
      </c>
      <c r="V28" s="17" t="n">
        <f aca="false">IFERROR((AK28-BD28)/((AN28+BG28)/2),0)</f>
        <v>-0.0553302263284655</v>
      </c>
      <c r="W28" s="17" t="n">
        <f aca="false">IFERROR((N(AL28)-N(BE28))/((AN28+BG28)/2),0)</f>
        <v>-0.0789106376645958</v>
      </c>
      <c r="X28" s="17" t="n">
        <f aca="false">IFERROR((AN28-N(AO28)-AP28)/AN28,0)</f>
        <v>0.734440621816722</v>
      </c>
      <c r="Y28" s="17" t="n">
        <f aca="false">IF(COUNT(BP28,BQ28,BR28,BS28)=4,IFERROR((AD28-(AK28-BD28))/(AW28-(BD28-BP28))-1,0),0)</f>
        <v>0</v>
      </c>
      <c r="Z28" s="17" t="n">
        <f aca="false">IF(COUNT(BP28,BQ28,BR28,BS28)=4,IFERROR(AH28/((AN28+BG28)/2)-BA28/((BG28+BR28)/2),0),0)</f>
        <v>0</v>
      </c>
      <c r="AA28" s="9" t="n">
        <f aca="false">IF(N(AJ28)&gt;0,1,0)</f>
        <v>1</v>
      </c>
      <c r="AB28" s="17" t="n">
        <f aca="false">Inputs!$C$24+Inputs!$C$25*U28+Inputs!$C$26*V28+Inputs!$C$27*W28+Inputs!$C$28*X28+Inputs!$C$29*Y28+Inputs!$C$30*Z28+Inputs!$C$31*AA28</f>
        <v>-5.66082682763469</v>
      </c>
      <c r="AD28" s="30" t="n">
        <v>3329.046</v>
      </c>
      <c r="AE28" s="30" t="n">
        <v>2825.834</v>
      </c>
      <c r="AF28" s="30" t="n">
        <v>215.122</v>
      </c>
      <c r="AG28" s="30" t="n">
        <v>25.082</v>
      </c>
      <c r="AH28" s="30" t="n">
        <v>78.921</v>
      </c>
      <c r="AI28" s="30" t="n">
        <v>230.452</v>
      </c>
      <c r="AJ28" s="30" t="n">
        <v>15.86</v>
      </c>
      <c r="AK28" s="30" t="n">
        <v>356.23</v>
      </c>
      <c r="AL28" s="30" t="n">
        <v>685.231</v>
      </c>
      <c r="AM28" s="30" t="n">
        <v>1420.331</v>
      </c>
      <c r="AN28" s="30" t="n">
        <v>1701.273</v>
      </c>
      <c r="AO28" s="30" t="n">
        <v>212.489</v>
      </c>
      <c r="AP28" s="30" t="n">
        <v>239.3</v>
      </c>
      <c r="AQ28" s="30" t="s">
        <v>185</v>
      </c>
      <c r="AR28" s="30" t="n">
        <v>1.571</v>
      </c>
      <c r="AS28" s="30" t="n">
        <v>588.412</v>
      </c>
      <c r="AT28" s="30" t="n">
        <v>729.417</v>
      </c>
      <c r="AU28" s="30" t="s">
        <v>185</v>
      </c>
      <c r="AV28" s="30" t="n">
        <v>22.544</v>
      </c>
      <c r="AW28" s="30" t="n">
        <v>3614.873</v>
      </c>
      <c r="AX28" s="30" t="n">
        <v>3147.694</v>
      </c>
      <c r="AY28" s="30" t="n">
        <v>185.861</v>
      </c>
      <c r="AZ28" s="30" t="n">
        <v>23.19</v>
      </c>
      <c r="BA28" s="30" t="n">
        <v>59.428</v>
      </c>
      <c r="BB28" s="30" t="n">
        <v>110.171</v>
      </c>
      <c r="BC28" s="30" t="n">
        <v>88.437</v>
      </c>
      <c r="BD28" s="30" t="n">
        <v>451.409</v>
      </c>
      <c r="BE28" s="30" t="n">
        <v>820.973</v>
      </c>
      <c r="BF28" s="30" t="n">
        <v>1495.69</v>
      </c>
      <c r="BG28" s="30" t="n">
        <v>1739.125</v>
      </c>
      <c r="BH28" s="30" t="n">
        <v>198.158</v>
      </c>
      <c r="BI28" s="30" t="n">
        <v>105.761</v>
      </c>
      <c r="BJ28" s="30" t="s">
        <v>185</v>
      </c>
      <c r="BK28" s="30" t="n">
        <v>1.571</v>
      </c>
      <c r="BL28" s="30" t="n">
        <v>738.882</v>
      </c>
      <c r="BM28" s="30" t="n">
        <v>863.833</v>
      </c>
      <c r="BN28" s="30" t="s">
        <v>185</v>
      </c>
      <c r="BO28" s="30" t="n">
        <v>79.299</v>
      </c>
      <c r="BP28" s="30" t="s">
        <v>185</v>
      </c>
      <c r="BQ28" s="30" t="n">
        <v>2672.903</v>
      </c>
      <c r="BR28" s="30" t="s">
        <v>185</v>
      </c>
      <c r="BS28" s="30" t="n">
        <v>57.56</v>
      </c>
    </row>
    <row r="29" customFormat="false" ht="15" hidden="false" customHeight="false" outlineLevel="0" collapsed="false">
      <c r="B29" s="24" t="n">
        <v>43830</v>
      </c>
      <c r="C29" s="24" t="n">
        <v>43868</v>
      </c>
      <c r="D29" s="25" t="s">
        <v>184</v>
      </c>
      <c r="E29" s="26" t="n">
        <f aca="false">Inputs!$C$13+Inputs!$C$14*M29+Inputs!$C$15*N29+Inputs!$C$16*O29+Inputs!$C$17*P29+Inputs!$C$18*Q29+Inputs!$C$19*R29+Inputs!$C$20*S29+Inputs!$C$21*T29</f>
        <v>-3.06478297791126</v>
      </c>
      <c r="F29" s="26" t="n">
        <f aca="false">EXP(AB29)/(1+EXP(AB29))/Inputs!$C$32</f>
        <v>0.325940600127654</v>
      </c>
      <c r="G29" s="27" t="n">
        <f aca="false">IFERROR((AH29-AI29)/((AN29+BG29)/2),"n/a")</f>
        <v>-0.103973384330894</v>
      </c>
      <c r="H29" s="28" t="n">
        <f aca="false">IFERROR(AI29/AH29,"n/a")</f>
        <v>3.18225976518535</v>
      </c>
      <c r="I29" s="29" t="n">
        <f aca="false">IFERROR(AK29/AD29*365,"n/a")</f>
        <v>40.2213811924809</v>
      </c>
      <c r="J29" s="29" t="n">
        <f aca="false">IFERROR(N(AL29)/AE29*365,"n/a")</f>
        <v>93.3346365198603</v>
      </c>
      <c r="K29" s="9" t="n">
        <f aca="false">IF(E29&gt;Inputs!$C$7,1,0)</f>
        <v>0</v>
      </c>
      <c r="L29" s="9" t="n">
        <f aca="false">IF(F29&gt;Inputs!$C$8,1,0)</f>
        <v>0</v>
      </c>
      <c r="M29" s="17" t="n">
        <f aca="false">IFERROR((AK29/AD29)/(BD29/AW29),1)</f>
        <v>0.954110988872839</v>
      </c>
      <c r="N29" s="17" t="n">
        <f aca="false">IFERROR(((AW29-AX29)/AW29)/((AD29-AE29)/AD29),1)</f>
        <v>0.837218363390361</v>
      </c>
      <c r="O29" s="17" t="n">
        <f aca="false">IFERROR((1-(AM29+AO29)/AN29)/(1-(BF29+BH29)/BG29),1)</f>
        <v>1.33775308547309</v>
      </c>
      <c r="P29" s="17" t="n">
        <f aca="false">IFERROR(AD29/AW29,1)</f>
        <v>0.878765628532997</v>
      </c>
      <c r="Q29" s="17" t="n">
        <f aca="false">IFERROR((AZ29/(AZ29+BH29))/(AG29/(AG29+AO29)),1)</f>
        <v>1.01513905971127</v>
      </c>
      <c r="R29" s="17" t="n">
        <f aca="false">IFERROR((AF29/AD29)/(AY29/AW29),1)</f>
        <v>1.22513567170923</v>
      </c>
      <c r="S29" s="17" t="n">
        <f aca="false">IFERROR((AH29-AI29)/AN29,0)</f>
        <v>-0.101933605196125</v>
      </c>
      <c r="T29" s="17" t="n">
        <f aca="false">IFERROR(((AS29+N(AU29))/AN29)/((BL29+N(BN29))/BG29),1)</f>
        <v>0.911308527055302</v>
      </c>
      <c r="U29" s="17" t="n">
        <f aca="false">IFERROR((((AM29-AP29-N(AQ29))-(AS29-N(AV29))+(AN29-AM29-N(AR29))-(AT29-AS29-N(AU29))+(N(AQ29)+N(AR29))-(N(AU29)+N(AV29)))-((BF29-BI29-N(BJ29))-(BL29-N(BO29))+(BG29-BF29-N(BK29))-(BM29-BL29-N(BN29))+(N(BJ29)+N(BK29))-(N(BN29)+N(BO29))))/((AN29+BG29)/2),0)</f>
        <v>-0.0541395629232079</v>
      </c>
      <c r="V29" s="17" t="n">
        <f aca="false">IFERROR((AK29-BD29)/((AN29+BG29)/2),0)</f>
        <v>-0.0391750226350596</v>
      </c>
      <c r="W29" s="17" t="n">
        <f aca="false">IFERROR((N(AL29)-N(BE29))/((AN29+BG29)/2),0)</f>
        <v>-0.0704091470477335</v>
      </c>
      <c r="X29" s="17" t="n">
        <f aca="false">IFERROR((AN29-N(AO29)-AP29)/AN29,0)</f>
        <v>0.706929955579265</v>
      </c>
      <c r="Y29" s="17" t="n">
        <f aca="false">IF(COUNT(BP29,BQ29,BR29,BS29)=4,IFERROR((AD29-(AK29-BD29))/(AW29-(BD29-BP29))-1,0),0)</f>
        <v>0</v>
      </c>
      <c r="Z29" s="17" t="n">
        <f aca="false">IF(COUNT(BP29,BQ29,BR29,BS29)=4,IFERROR(AH29/((AN29+BG29)/2)-BA29/((BG29+BR29)/2),0),0)</f>
        <v>0</v>
      </c>
      <c r="AA29" s="9" t="n">
        <f aca="false">IF(N(AJ29)&gt;0,1,0)</f>
        <v>0</v>
      </c>
      <c r="AB29" s="17" t="n">
        <f aca="false">Inputs!$C$24+Inputs!$C$25*U29+Inputs!$C$26*V29+Inputs!$C$27*W29+Inputs!$C$28*X29+Inputs!$C$29*Y29+Inputs!$C$30*Z29+Inputs!$C$31*AA29</f>
        <v>-6.7192558737469</v>
      </c>
      <c r="AD29" s="30" t="n">
        <v>3268.48</v>
      </c>
      <c r="AE29" s="30" t="n">
        <v>2754.786</v>
      </c>
      <c r="AF29" s="30" t="n">
        <v>213.882</v>
      </c>
      <c r="AG29" s="30" t="n">
        <v>25.982</v>
      </c>
      <c r="AH29" s="30" t="n">
        <v>84.407</v>
      </c>
      <c r="AI29" s="30" t="n">
        <v>268.605</v>
      </c>
      <c r="AJ29" s="30" t="n">
        <v>0</v>
      </c>
      <c r="AK29" s="30" t="n">
        <v>360.172</v>
      </c>
      <c r="AL29" s="30" t="n">
        <v>704.43</v>
      </c>
      <c r="AM29" s="30" t="n">
        <v>1520.695</v>
      </c>
      <c r="AN29" s="30" t="n">
        <v>1807.039</v>
      </c>
      <c r="AO29" s="30" t="n">
        <v>220.551</v>
      </c>
      <c r="AP29" s="30" t="n">
        <v>309.038</v>
      </c>
      <c r="AQ29" s="30" t="s">
        <v>185</v>
      </c>
      <c r="AR29" s="30" t="n">
        <v>1.571</v>
      </c>
      <c r="AS29" s="30" t="n">
        <v>671.74</v>
      </c>
      <c r="AT29" s="30" t="n">
        <v>805.486</v>
      </c>
      <c r="AU29" s="30" t="s">
        <v>185</v>
      </c>
      <c r="AV29" s="30" t="n">
        <v>23.25</v>
      </c>
      <c r="AW29" s="30" t="n">
        <v>3719.399</v>
      </c>
      <c r="AX29" s="30" t="n">
        <v>3229.992</v>
      </c>
      <c r="AY29" s="30" t="n">
        <v>198.663</v>
      </c>
      <c r="AZ29" s="30" t="n">
        <v>23.751</v>
      </c>
      <c r="BA29" s="30" t="n">
        <v>78.431</v>
      </c>
      <c r="BB29" s="30" t="n">
        <v>149.234</v>
      </c>
      <c r="BC29" s="30" t="n">
        <v>81.997</v>
      </c>
      <c r="BD29" s="30" t="n">
        <v>429.574</v>
      </c>
      <c r="BE29" s="30" t="n">
        <v>829.166</v>
      </c>
      <c r="BF29" s="30" t="n">
        <v>1490.633</v>
      </c>
      <c r="BG29" s="30" t="n">
        <v>1736.137</v>
      </c>
      <c r="BH29" s="30" t="n">
        <v>198.252</v>
      </c>
      <c r="BI29" s="30" t="n">
        <v>109.783</v>
      </c>
      <c r="BJ29" s="30" t="s">
        <v>185</v>
      </c>
      <c r="BK29" s="30" t="n">
        <v>1.571</v>
      </c>
      <c r="BL29" s="30" t="n">
        <v>708.194</v>
      </c>
      <c r="BM29" s="30" t="n">
        <v>837.926</v>
      </c>
      <c r="BN29" s="30" t="s">
        <v>185</v>
      </c>
      <c r="BO29" s="30" t="n">
        <v>48.172</v>
      </c>
      <c r="BP29" s="30" t="s">
        <v>185</v>
      </c>
      <c r="BQ29" s="30" t="n">
        <v>2836.686</v>
      </c>
      <c r="BR29" s="30" t="s">
        <v>185</v>
      </c>
      <c r="BS29" s="30" t="n">
        <v>33.901</v>
      </c>
    </row>
    <row r="30" customFormat="false" ht="15" hidden="false" customHeight="false" outlineLevel="0" collapsed="false">
      <c r="B30" s="24" t="n">
        <v>43921</v>
      </c>
      <c r="C30" s="24" t="n">
        <v>43962</v>
      </c>
      <c r="D30" s="25" t="s">
        <v>184</v>
      </c>
      <c r="E30" s="26" t="n">
        <f aca="false">Inputs!$C$13+Inputs!$C$14*M30+Inputs!$C$15*N30+Inputs!$C$16*O30+Inputs!$C$17*P30+Inputs!$C$18*Q30+Inputs!$C$19*R30+Inputs!$C$20*S30+Inputs!$C$21*T30</f>
        <v>-2.5897879969036</v>
      </c>
      <c r="F30" s="26" t="n">
        <f aca="false">EXP(AB30)/(1+EXP(AB30))/Inputs!$C$32</f>
        <v>1.28276141900883</v>
      </c>
      <c r="G30" s="27" t="n">
        <f aca="false">IFERROR((AH30-AI30)/((AN30+BG30)/2),"n/a")</f>
        <v>-0.0325169979548635</v>
      </c>
      <c r="H30" s="28" t="n">
        <f aca="false">IFERROR(AI30/AH30,"n/a")</f>
        <v>1.64757502679528</v>
      </c>
      <c r="I30" s="29" t="n">
        <f aca="false">IFERROR(AK30/AD30*365,"n/a")</f>
        <v>36.8800223449523</v>
      </c>
      <c r="J30" s="29" t="n">
        <f aca="false">IFERROR(N(AL30)/AE30*365,"n/a")</f>
        <v>114.444868753398</v>
      </c>
      <c r="K30" s="9" t="n">
        <f aca="false">IF(E30&gt;Inputs!$C$7,1,0)</f>
        <v>0</v>
      </c>
      <c r="L30" s="9" t="n">
        <f aca="false">IF(F30&gt;Inputs!$C$8,1,0)</f>
        <v>0</v>
      </c>
      <c r="M30" s="17" t="n">
        <f aca="false">IFERROR((AK30/AD30)/(BD30/AW30),1)</f>
        <v>1.1197127901731</v>
      </c>
      <c r="N30" s="17" t="n">
        <f aca="false">IFERROR(((AW30-AX30)/AW30)/((AD30-AE30)/AD30),1)</f>
        <v>0.842786527807405</v>
      </c>
      <c r="O30" s="17" t="n">
        <f aca="false">IFERROR((1-(AM30+AO30)/AN30)/(1-(BF30+BH30)/BG30),1)</f>
        <v>1.39806286883593</v>
      </c>
      <c r="P30" s="17" t="n">
        <f aca="false">IFERROR(AD30/AW30,1)</f>
        <v>0.908925493992483</v>
      </c>
      <c r="Q30" s="17" t="n">
        <f aca="false">IFERROR((AZ30/(AZ30+BH30))/(AG30/(AG30+AO30)),1)</f>
        <v>1.00081964835935</v>
      </c>
      <c r="R30" s="17" t="n">
        <f aca="false">IFERROR((AF30/AD30)/(AY30/AW30),1)</f>
        <v>1.18659034306754</v>
      </c>
      <c r="S30" s="17" t="n">
        <f aca="false">IFERROR((AH30-AI30)/AN30,0)</f>
        <v>-0.0295892943502721</v>
      </c>
      <c r="T30" s="17" t="n">
        <f aca="false">IFERROR(((AS30+N(AU30))/AN30)/((BL30+N(BN30))/BG30),1)</f>
        <v>1.14081468649835</v>
      </c>
      <c r="U30" s="17" t="n">
        <f aca="false">IFERROR((((AM30-AP30-N(AQ30))-(AS30-N(AV30))+(AN30-AM30-N(AR30))-(AT30-AS30-N(AU30))+(N(AQ30)+N(AR30))-(N(AU30)+N(AV30)))-((BF30-BI30-N(BJ30))-(BL30-N(BO30))+(BG30-BF30-N(BK30))-(BM30-BL30-N(BN30))+(N(BJ30)+N(BK30))-(N(BN30)+N(BO30))))/((AN30+BG30)/2),0)</f>
        <v>-0.00330036148684991</v>
      </c>
      <c r="V30" s="17" t="n">
        <f aca="false">IFERROR((AK30-BD30)/((AN30+BG30)/2),0)</f>
        <v>0.00325495138315814</v>
      </c>
      <c r="W30" s="17" t="n">
        <f aca="false">IFERROR((N(AL30)-N(BE30))/((AN30+BG30)/2),0)</f>
        <v>0.058928299128126</v>
      </c>
      <c r="X30" s="17" t="n">
        <f aca="false">IFERROR((AN30-N(AO30)-AP30)/AN30,0)</f>
        <v>0.728942841576218</v>
      </c>
      <c r="Y30" s="17" t="n">
        <f aca="false">IF(COUNT(BP30,BQ30,BR30,BS30)=4,IFERROR((AD30-(AK30-BD30))/(AW30-(BD30-BP30))-1,0),0)</f>
        <v>0</v>
      </c>
      <c r="Z30" s="17" t="n">
        <f aca="false">IF(COUNT(BP30,BQ30,BR30,BS30)=4,IFERROR(AH30/((AN30+BG30)/2)-BA30/((BG30+BR30)/2),0),0)</f>
        <v>0</v>
      </c>
      <c r="AA30" s="9" t="n">
        <f aca="false">IF(N(AJ30)&gt;0,1,0)</f>
        <v>1</v>
      </c>
      <c r="AB30" s="17" t="n">
        <f aca="false">Inputs!$C$24+Inputs!$C$25*U30+Inputs!$C$26*V30+Inputs!$C$27*W30+Inputs!$C$28*X30+Inputs!$C$29*Y30+Inputs!$C$30*Z30+Inputs!$C$31*AA30</f>
        <v>-5.34564983025089</v>
      </c>
      <c r="AD30" s="30" t="n">
        <v>3297.389</v>
      </c>
      <c r="AE30" s="30" t="n">
        <v>2762.662</v>
      </c>
      <c r="AF30" s="30" t="n">
        <v>227.442</v>
      </c>
      <c r="AG30" s="30" t="n">
        <v>26.989</v>
      </c>
      <c r="AH30" s="30" t="n">
        <v>89.568</v>
      </c>
      <c r="AI30" s="30" t="n">
        <v>147.57</v>
      </c>
      <c r="AJ30" s="30" t="n">
        <v>10</v>
      </c>
      <c r="AK30" s="30" t="n">
        <v>333.172</v>
      </c>
      <c r="AL30" s="30" t="n">
        <v>866.226</v>
      </c>
      <c r="AM30" s="30" t="n">
        <v>1648.359</v>
      </c>
      <c r="AN30" s="30" t="n">
        <v>1960.236</v>
      </c>
      <c r="AO30" s="30" t="n">
        <v>230.477</v>
      </c>
      <c r="AP30" s="30" t="n">
        <v>300.859</v>
      </c>
      <c r="AQ30" s="30" t="s">
        <v>185</v>
      </c>
      <c r="AR30" s="30" t="n">
        <v>1.571</v>
      </c>
      <c r="AS30" s="30" t="n">
        <v>784.823</v>
      </c>
      <c r="AT30" s="30" t="n">
        <v>921.841</v>
      </c>
      <c r="AU30" s="30" t="s">
        <v>185</v>
      </c>
      <c r="AV30" s="30" t="n">
        <v>33.158</v>
      </c>
      <c r="AW30" s="30" t="n">
        <v>3627.788</v>
      </c>
      <c r="AX30" s="30" t="n">
        <v>3131.971</v>
      </c>
      <c r="AY30" s="30" t="n">
        <v>210.883</v>
      </c>
      <c r="AZ30" s="30" t="n">
        <v>23.845</v>
      </c>
      <c r="BA30" s="30" t="n">
        <v>74.482</v>
      </c>
      <c r="BB30" s="30" t="n">
        <v>245.662</v>
      </c>
      <c r="BC30" s="30" t="n">
        <v>41.76</v>
      </c>
      <c r="BD30" s="30" t="n">
        <v>327.366</v>
      </c>
      <c r="BE30" s="30" t="n">
        <v>761.113</v>
      </c>
      <c r="BF30" s="30" t="n">
        <v>1356.071</v>
      </c>
      <c r="BG30" s="30" t="n">
        <v>1607.252</v>
      </c>
      <c r="BH30" s="30" t="n">
        <v>203.442</v>
      </c>
      <c r="BI30" s="30" t="n">
        <v>169.735</v>
      </c>
      <c r="BJ30" s="30" t="s">
        <v>185</v>
      </c>
      <c r="BK30" s="30" t="s">
        <v>185</v>
      </c>
      <c r="BL30" s="30" t="n">
        <v>564.069</v>
      </c>
      <c r="BM30" s="30" t="n">
        <v>694.094</v>
      </c>
      <c r="BN30" s="30" t="s">
        <v>185</v>
      </c>
      <c r="BO30" s="30" t="n">
        <v>22.66</v>
      </c>
      <c r="BP30" s="30" t="s">
        <v>185</v>
      </c>
      <c r="BQ30" s="30" t="n">
        <v>3056.998</v>
      </c>
      <c r="BR30" s="30" t="s">
        <v>185</v>
      </c>
      <c r="BS30" s="30" t="n">
        <v>33.146</v>
      </c>
    </row>
    <row r="31" customFormat="false" ht="15" hidden="false" customHeight="false" outlineLevel="0" collapsed="false">
      <c r="B31" s="24" t="n">
        <v>44012</v>
      </c>
      <c r="C31" s="24" t="n">
        <v>44074</v>
      </c>
      <c r="D31" s="25" t="s">
        <v>184</v>
      </c>
      <c r="E31" s="26" t="n">
        <f aca="false">Inputs!$C$13+Inputs!$C$14*M31+Inputs!$C$15*N31+Inputs!$C$16*O31+Inputs!$C$17*P31+Inputs!$C$18*Q31+Inputs!$C$19*R31+Inputs!$C$20*S31+Inputs!$C$21*T31</f>
        <v>-2.04361733009724</v>
      </c>
      <c r="F31" s="26" t="n">
        <f aca="false">EXP(AB31)/(1+EXP(AB31))/Inputs!$C$32</f>
        <v>1.5523717257837</v>
      </c>
      <c r="G31" s="27" t="n">
        <f aca="false">IFERROR((AH31-AI31)/((AN31+BG31)/2),"n/a")</f>
        <v>0.0636680698870389</v>
      </c>
      <c r="H31" s="28" t="n">
        <f aca="false">IFERROR(AI31/AH31,"n/a")</f>
        <v>-0.359799781752621</v>
      </c>
      <c r="I31" s="29" t="n">
        <f aca="false">IFERROR(AK31/AD31*365,"n/a")</f>
        <v>44.1313339608137</v>
      </c>
      <c r="J31" s="29" t="n">
        <f aca="false">IFERROR(N(AL31)/AE31*365,"n/a")</f>
        <v>110.483087700239</v>
      </c>
      <c r="K31" s="9" t="n">
        <f aca="false">IF(E31&gt;Inputs!$C$7,1,0)</f>
        <v>0</v>
      </c>
      <c r="L31" s="9" t="n">
        <f aca="false">IF(F31&gt;Inputs!$C$8,1,0)</f>
        <v>0</v>
      </c>
      <c r="M31" s="17" t="n">
        <f aca="false">IFERROR((AK31/AD31)/(BD31/AW31),1)</f>
        <v>1.07519028758878</v>
      </c>
      <c r="N31" s="17" t="n">
        <f aca="false">IFERROR(((AW31-AX31)/AW31)/((AD31-AE31)/AD31),1)</f>
        <v>0.898346950450761</v>
      </c>
      <c r="O31" s="17" t="n">
        <f aca="false">IFERROR((1-(AM31+AO31)/AN31)/(1-(BF31+BH31)/BG31),1)</f>
        <v>1.51009404015412</v>
      </c>
      <c r="P31" s="17" t="n">
        <f aca="false">IFERROR(AD31/AW31,1)</f>
        <v>0.953982161834783</v>
      </c>
      <c r="Q31" s="17" t="n">
        <f aca="false">IFERROR((AZ31/(AZ31+BH31))/(AG31/(AG31+AO31)),1)</f>
        <v>0.962800300768172</v>
      </c>
      <c r="R31" s="17" t="n">
        <f aca="false">IFERROR((AF31/AD31)/(AY31/AW31),1)</f>
        <v>1.05157844244014</v>
      </c>
      <c r="S31" s="17" t="n">
        <f aca="false">IFERROR((AH31-AI31)/AN31,0)</f>
        <v>0.0597515122643781</v>
      </c>
      <c r="T31" s="17" t="n">
        <f aca="false">IFERROR(((AS31+N(AU31))/AN31)/((BL31+N(BN31))/BG31),1)</f>
        <v>1.03234719715435</v>
      </c>
      <c r="U31" s="17" t="n">
        <f aca="false">IFERROR((((AM31-AP31-N(AQ31))-(AS31-N(AV31))+(AN31-AM31-N(AR31))-(AT31-AS31-N(AU31))+(N(AQ31)+N(AR31))-(N(AU31)+N(AV31)))-((BF31-BI31-N(BJ31))-(BL31-N(BO31))+(BG31-BF31-N(BK31))-(BM31-BL31-N(BN31))+(N(BJ31)+N(BK31))-(N(BN31)+N(BO31))))/((AN31+BG31)/2),0)</f>
        <v>0.0900589796847753</v>
      </c>
      <c r="V31" s="17" t="n">
        <f aca="false">IFERROR((AK31-BD31)/((AN31+BG31)/2),0)</f>
        <v>0.00562084171007763</v>
      </c>
      <c r="W31" s="17" t="n">
        <f aca="false">IFERROR((N(AL31)-N(BE31))/((AN31+BG31)/2),0)</f>
        <v>0.100693094600749</v>
      </c>
      <c r="X31" s="17" t="n">
        <f aca="false">IFERROR((AN31-N(AO31)-AP31)/AN31,0)</f>
        <v>0.768421063604229</v>
      </c>
      <c r="Y31" s="17" t="n">
        <f aca="false">IF(COUNT(BP31,BQ31,BR31,BS31)=4,IFERROR((AD31-(AK31-BD31))/(AW31-(BD31-BP31))-1,0),0)</f>
        <v>-0.0643509552351812</v>
      </c>
      <c r="Z31" s="17" t="n">
        <f aca="false">IF(COUNT(BP31,BQ31,BR31,BS31)=4,IFERROR(AH31/((AN31+BG31)/2)-BA31/((BG31+BR31)/2),0),0)</f>
        <v>0.00515540610207253</v>
      </c>
      <c r="AA31" s="9" t="n">
        <f aca="false">IF(N(AJ31)&gt;0,1,0)</f>
        <v>1</v>
      </c>
      <c r="AB31" s="17" t="n">
        <f aca="false">Inputs!$C$24+Inputs!$C$25*U31+Inputs!$C$26*V31+Inputs!$C$27*W31+Inputs!$C$28*X31+Inputs!$C$29*Y31+Inputs!$C$30*Z31+Inputs!$C$31*AA31</f>
        <v>-5.15387821791314</v>
      </c>
      <c r="AD31" s="30" t="n">
        <v>3339.281</v>
      </c>
      <c r="AE31" s="30" t="n">
        <v>2813.071</v>
      </c>
      <c r="AF31" s="30" t="n">
        <v>219.078</v>
      </c>
      <c r="AG31" s="30" t="n">
        <v>28.472</v>
      </c>
      <c r="AH31" s="30" t="n">
        <v>84.308</v>
      </c>
      <c r="AI31" s="30" t="n">
        <v>-30.334</v>
      </c>
      <c r="AJ31" s="30" t="n">
        <v>164.791</v>
      </c>
      <c r="AK31" s="30" t="n">
        <v>403.745</v>
      </c>
      <c r="AL31" s="30" t="n">
        <v>851.498</v>
      </c>
      <c r="AM31" s="30" t="n">
        <v>1592.761</v>
      </c>
      <c r="AN31" s="30" t="n">
        <v>1918.646</v>
      </c>
      <c r="AO31" s="30" t="n">
        <v>233.785</v>
      </c>
      <c r="AP31" s="30" t="n">
        <v>210.533</v>
      </c>
      <c r="AQ31" s="30" t="s">
        <v>185</v>
      </c>
      <c r="AR31" s="30" t="n">
        <v>1.571</v>
      </c>
      <c r="AS31" s="30" t="n">
        <v>707.635</v>
      </c>
      <c r="AT31" s="30" t="n">
        <v>852.939</v>
      </c>
      <c r="AU31" s="30" t="n">
        <v>5.697</v>
      </c>
      <c r="AV31" s="30" t="n">
        <v>23.704</v>
      </c>
      <c r="AW31" s="30" t="n">
        <v>3500.36</v>
      </c>
      <c r="AX31" s="30" t="n">
        <v>3004.838</v>
      </c>
      <c r="AY31" s="30" t="n">
        <v>218.382</v>
      </c>
      <c r="AZ31" s="30" t="n">
        <v>24.202</v>
      </c>
      <c r="BA31" s="30" t="n">
        <v>71.918</v>
      </c>
      <c r="BB31" s="30" t="n">
        <v>262.554</v>
      </c>
      <c r="BC31" s="30" t="n">
        <v>41.76</v>
      </c>
      <c r="BD31" s="30" t="n">
        <v>393.624</v>
      </c>
      <c r="BE31" s="30" t="n">
        <v>670.188</v>
      </c>
      <c r="BF31" s="30" t="n">
        <v>1421.771</v>
      </c>
      <c r="BG31" s="30" t="n">
        <v>1682.594</v>
      </c>
      <c r="BH31" s="30" t="n">
        <v>207.337</v>
      </c>
      <c r="BI31" s="30" t="n">
        <v>248.164</v>
      </c>
      <c r="BJ31" s="30" t="s">
        <v>185</v>
      </c>
      <c r="BK31" s="30" t="n">
        <v>1.571</v>
      </c>
      <c r="BL31" s="30" t="n">
        <v>605.969</v>
      </c>
      <c r="BM31" s="30" t="n">
        <v>741.418</v>
      </c>
      <c r="BN31" s="30" t="n">
        <v>0</v>
      </c>
      <c r="BO31" s="30" t="n">
        <v>23.647</v>
      </c>
      <c r="BP31" s="30" t="n">
        <v>451.393</v>
      </c>
      <c r="BQ31" s="30" t="n">
        <v>3360.492</v>
      </c>
      <c r="BR31" s="30" t="n">
        <v>1769.505</v>
      </c>
      <c r="BS31" s="30" t="n">
        <v>46.165</v>
      </c>
    </row>
    <row r="32" customFormat="false" ht="15" hidden="false" customHeight="false" outlineLevel="0" collapsed="false">
      <c r="B32" s="24" t="n">
        <v>44104</v>
      </c>
      <c r="C32" s="24" t="n">
        <v>44141</v>
      </c>
      <c r="D32" s="25" t="s">
        <v>184</v>
      </c>
      <c r="E32" s="26" t="n">
        <f aca="false">Inputs!$C$13+Inputs!$C$14*M32+Inputs!$C$15*N32+Inputs!$C$16*O32+Inputs!$C$17*P32+Inputs!$C$18*Q32+Inputs!$C$19*R32+Inputs!$C$20*S32+Inputs!$C$21*T32</f>
        <v>-2.46014487643874</v>
      </c>
      <c r="F32" s="26" t="n">
        <f aca="false">EXP(AB32)/(1+EXP(AB32))/Inputs!$C$32</f>
        <v>1.15431963393939</v>
      </c>
      <c r="G32" s="27" t="n">
        <f aca="false">IFERROR((AH32-AI32)/((AN32+BG32)/2),"n/a")</f>
        <v>-5.51455016904702E-005</v>
      </c>
      <c r="H32" s="28" t="n">
        <f aca="false">IFERROR(AI32/AH32,"n/a")</f>
        <v>1.00114706021475</v>
      </c>
      <c r="I32" s="29" t="n">
        <f aca="false">IFERROR(AK32/AD32*365,"n/a")</f>
        <v>35.6899359032409</v>
      </c>
      <c r="J32" s="29" t="n">
        <f aca="false">IFERROR(N(AL32)/AE32*365,"n/a")</f>
        <v>101.730339045377</v>
      </c>
      <c r="K32" s="9" t="n">
        <f aca="false">IF(E32&gt;Inputs!$C$7,1,0)</f>
        <v>0</v>
      </c>
      <c r="L32" s="9" t="n">
        <f aca="false">IF(F32&gt;Inputs!$C$8,1,0)</f>
        <v>0</v>
      </c>
      <c r="M32" s="17" t="n">
        <f aca="false">IFERROR((AK32/AD32)/(BD32/AW32),1)</f>
        <v>0.913781179228447</v>
      </c>
      <c r="N32" s="17" t="n">
        <f aca="false">IFERROR(((AW32-AX32)/AW32)/((AD32-AE32)/AD32),1)</f>
        <v>0.950278589453828</v>
      </c>
      <c r="O32" s="17" t="n">
        <f aca="false">IFERROR((1-(AM32+AO32)/AN32)/(1-(BF32+BH32)/BG32),1)</f>
        <v>1.30401928550577</v>
      </c>
      <c r="P32" s="17" t="n">
        <f aca="false">IFERROR(AD32/AW32,1)</f>
        <v>0.991793745114967</v>
      </c>
      <c r="Q32" s="17" t="n">
        <f aca="false">IFERROR((AZ32/(AZ32+BH32))/(AG32/(AG32+AO32)),1)</f>
        <v>0.981137485056105</v>
      </c>
      <c r="R32" s="17" t="n">
        <f aca="false">IFERROR((AF32/AD32)/(AY32/AW32),1)</f>
        <v>1.00890689803868</v>
      </c>
      <c r="S32" s="17" t="n">
        <f aca="false">IFERROR((AH32-AI32)/AN32,0)</f>
        <v>-5.3393721448813E-005</v>
      </c>
      <c r="T32" s="17" t="n">
        <f aca="false">IFERROR(((AS32+N(AU32))/AN32)/((BL32+N(BN32))/BG32),1)</f>
        <v>0.957564109001704</v>
      </c>
      <c r="U32" s="17" t="n">
        <f aca="false">IFERROR((((AM32-AP32-N(AQ32))-(AS32-N(AV32))+(AN32-AM32-N(AR32))-(AT32-AS32-N(AU32))+(N(AQ32)+N(AR32))-(N(AU32)+N(AV32)))-((BF32-BI32-N(BJ32))-(BL32-N(BO32))+(BG32-BF32-N(BK32))-(BM32-BL32-N(BN32))+(N(BJ32)+N(BK32))-(N(BN32)+N(BO32))))/((AN32+BG32)/2),0)</f>
        <v>0.0227955585699237</v>
      </c>
      <c r="V32" s="17" t="n">
        <f aca="false">IFERROR((AK32-BD32)/((AN32+BG32)/2),0)</f>
        <v>-0.0189797172570741</v>
      </c>
      <c r="W32" s="17" t="n">
        <f aca="false">IFERROR((N(AL32)-N(BE32))/((AN32+BG32)/2),0)</f>
        <v>0.0503842277043041</v>
      </c>
      <c r="X32" s="17" t="n">
        <f aca="false">IFERROR((AN32-N(AO32)-AP32)/AN32,0)</f>
        <v>0.701688177364035</v>
      </c>
      <c r="Y32" s="17" t="n">
        <f aca="false">IF(COUNT(BP32,BQ32,BR32,BS32)=4,IFERROR((AD32-(AK32-BD32))/(AW32-(BD32-BP32))-1,0),0)</f>
        <v>-0.026024282866926</v>
      </c>
      <c r="Z32" s="17" t="n">
        <f aca="false">IF(COUNT(BP32,BQ32,BR32,BS32)=4,IFERROR(AH32/((AN32+BG32)/2)-BA32/((BG32+BR32)/2),0),0)</f>
        <v>0.00219651303490775</v>
      </c>
      <c r="AA32" s="9" t="n">
        <f aca="false">IF(N(AJ32)&gt;0,1,0)</f>
        <v>1</v>
      </c>
      <c r="AB32" s="17" t="n">
        <f aca="false">Inputs!$C$24+Inputs!$C$25*U32+Inputs!$C$26*V32+Inputs!$C$27*W32+Inputs!$C$28*X32+Inputs!$C$29*Y32+Inputs!$C$30*Z32+Inputs!$C$31*AA32</f>
        <v>-5.4516312211026</v>
      </c>
      <c r="AD32" s="30" t="n">
        <v>3301.727</v>
      </c>
      <c r="AE32" s="30" t="n">
        <v>2776.531</v>
      </c>
      <c r="AF32" s="30" t="n">
        <v>215.257</v>
      </c>
      <c r="AG32" s="30" t="n">
        <v>29.163</v>
      </c>
      <c r="AH32" s="30" t="n">
        <v>84.564</v>
      </c>
      <c r="AI32" s="30" t="n">
        <v>84.661</v>
      </c>
      <c r="AJ32" s="30" t="n">
        <v>171.199</v>
      </c>
      <c r="AK32" s="30" t="n">
        <v>322.845</v>
      </c>
      <c r="AL32" s="30" t="n">
        <v>773.856</v>
      </c>
      <c r="AM32" s="30" t="n">
        <v>1479.521</v>
      </c>
      <c r="AN32" s="30" t="n">
        <v>1816.693</v>
      </c>
      <c r="AO32" s="30" t="n">
        <v>241.852</v>
      </c>
      <c r="AP32" s="30" t="n">
        <v>300.089</v>
      </c>
      <c r="AQ32" s="30" t="s">
        <v>185</v>
      </c>
      <c r="AR32" s="30" t="n">
        <v>1.571</v>
      </c>
      <c r="AS32" s="30" t="n">
        <v>589.688</v>
      </c>
      <c r="AT32" s="30" t="n">
        <v>743.951</v>
      </c>
      <c r="AU32" s="30" t="n">
        <v>11.98</v>
      </c>
      <c r="AV32" s="30" t="n">
        <v>24.047</v>
      </c>
      <c r="AW32" s="30" t="n">
        <v>3329.046</v>
      </c>
      <c r="AX32" s="30" t="n">
        <v>2825.834</v>
      </c>
      <c r="AY32" s="30" t="n">
        <v>215.122</v>
      </c>
      <c r="AZ32" s="30" t="n">
        <v>25.082</v>
      </c>
      <c r="BA32" s="30" t="n">
        <v>78.921</v>
      </c>
      <c r="BB32" s="30" t="n">
        <v>230.452</v>
      </c>
      <c r="BC32" s="30" t="n">
        <v>15.86</v>
      </c>
      <c r="BD32" s="30" t="n">
        <v>356.23</v>
      </c>
      <c r="BE32" s="30" t="n">
        <v>685.231</v>
      </c>
      <c r="BF32" s="30" t="n">
        <v>1420.331</v>
      </c>
      <c r="BG32" s="30" t="n">
        <v>1701.273</v>
      </c>
      <c r="BH32" s="30" t="n">
        <v>212.489</v>
      </c>
      <c r="BI32" s="30" t="n">
        <v>239.3</v>
      </c>
      <c r="BJ32" s="30" t="s">
        <v>185</v>
      </c>
      <c r="BK32" s="30" t="n">
        <v>1.571</v>
      </c>
      <c r="BL32" s="30" t="n">
        <v>588.412</v>
      </c>
      <c r="BM32" s="30" t="n">
        <v>729.417</v>
      </c>
      <c r="BN32" s="30" t="s">
        <v>185</v>
      </c>
      <c r="BO32" s="30" t="n">
        <v>22.544</v>
      </c>
      <c r="BP32" s="30" t="n">
        <v>451.409</v>
      </c>
      <c r="BQ32" s="30" t="n">
        <v>3614.873</v>
      </c>
      <c r="BR32" s="30" t="n">
        <v>1739.125</v>
      </c>
      <c r="BS32" s="30" t="n">
        <v>59.428</v>
      </c>
    </row>
    <row r="33" customFormat="false" ht="15" hidden="false" customHeight="false" outlineLevel="0" collapsed="false">
      <c r="B33" s="24" t="n">
        <v>44196</v>
      </c>
      <c r="C33" s="24" t="n">
        <v>44232</v>
      </c>
      <c r="D33" s="25" t="s">
        <v>184</v>
      </c>
      <c r="E33" s="26" t="n">
        <f aca="false">Inputs!$C$13+Inputs!$C$14*M33+Inputs!$C$15*N33+Inputs!$C$16*O33+Inputs!$C$17*P33+Inputs!$C$18*Q33+Inputs!$C$19*R33+Inputs!$C$20*S33+Inputs!$C$21*T33</f>
        <v>-2.36714168051626</v>
      </c>
      <c r="F33" s="26" t="n">
        <f aca="false">EXP(AB33)/(1+EXP(AB33))/Inputs!$C$32</f>
        <v>1.1629549372158</v>
      </c>
      <c r="G33" s="27" t="n">
        <f aca="false">IFERROR((AH33-AI33)/((AN33+BG33)/2),"n/a")</f>
        <v>0.0120055842691559</v>
      </c>
      <c r="H33" s="28" t="n">
        <f aca="false">IFERROR(AI33/AH33,"n/a")</f>
        <v>0.749051190529978</v>
      </c>
      <c r="I33" s="29" t="n">
        <f aca="false">IFERROR(AK33/AD33*365,"n/a")</f>
        <v>36.1543732310362</v>
      </c>
      <c r="J33" s="29" t="n">
        <f aca="false">IFERROR(N(AL33)/AE33*365,"n/a")</f>
        <v>107.629826933942</v>
      </c>
      <c r="K33" s="9" t="n">
        <f aca="false">IF(E33&gt;Inputs!$C$7,1,0)</f>
        <v>0</v>
      </c>
      <c r="L33" s="9" t="n">
        <f aca="false">IF(F33&gt;Inputs!$C$8,1,0)</f>
        <v>0</v>
      </c>
      <c r="M33" s="17" t="n">
        <f aca="false">IFERROR((AK33/AD33)/(BD33/AW33),1)</f>
        <v>0.898884428110963</v>
      </c>
      <c r="N33" s="17" t="n">
        <f aca="false">IFERROR(((AW33-AX33)/AW33)/((AD33-AE33)/AD33),1)</f>
        <v>0.980197524697468</v>
      </c>
      <c r="O33" s="17" t="n">
        <f aca="false">IFERROR((1-(AM33+AO33)/AN33)/(1-(BF33+BH33)/BG33),1)</f>
        <v>1.36877209025605</v>
      </c>
      <c r="P33" s="17" t="n">
        <f aca="false">IFERROR(AD33/AW33,1)</f>
        <v>0.997739010182103</v>
      </c>
      <c r="Q33" s="17" t="n">
        <f aca="false">IFERROR((AZ33/(AZ33+BH33))/(AG33/(AG33+AO33)),1)</f>
        <v>1.03324619186685</v>
      </c>
      <c r="R33" s="17" t="n">
        <f aca="false">IFERROR((AF33/AD33)/(AY33/AW33),1)</f>
        <v>0.9664598494015</v>
      </c>
      <c r="S33" s="17" t="n">
        <f aca="false">IFERROR((AH33-AI33)/AN33,0)</f>
        <v>0.0117297547294929</v>
      </c>
      <c r="T33" s="17" t="n">
        <f aca="false">IFERROR(((AS33+N(AU33))/AN33)/((BL33+N(BN33))/BG33),1)</f>
        <v>0.985022964255108</v>
      </c>
      <c r="U33" s="17" t="n">
        <f aca="false">IFERROR((((AM33-AP33-N(AQ33))-(AS33-N(AV33))+(AN33-AM33-N(AR33))-(AT33-AS33-N(AU33))+(N(AQ33)+N(AR33))-(N(AU33)+N(AV33)))-((BF33-BI33-N(BJ33))-(BL33-N(BO33))+(BG33-BF33-N(BK33))-(BM33-BL33-N(BN33))+(N(BJ33)+N(BK33))-(N(BN33)+N(BO33))))/((AN33+BG33)/2),0)</f>
        <v>0.0303125196731468</v>
      </c>
      <c r="V33" s="17" t="n">
        <f aca="false">IFERROR((AK33-BD33)/((AN33+BG33)/2),0)</f>
        <v>-0.0200755935177302</v>
      </c>
      <c r="W33" s="17" t="n">
        <f aca="false">IFERROR((N(AL33)-N(BE33))/((AN33+BG33)/2),0)</f>
        <v>0.0556595033221106</v>
      </c>
      <c r="X33" s="17" t="n">
        <f aca="false">IFERROR((AN33-N(AO33)-AP33)/AN33,0)</f>
        <v>0.698524660097399</v>
      </c>
      <c r="Y33" s="17" t="n">
        <f aca="false">IF(COUNT(BP33,BQ33,BR33,BS33)=4,IFERROR((AD33-(AK33-BD33))/(AW33-(BD33-BP33))-1,0),0)</f>
        <v>-0.0118760938822883</v>
      </c>
      <c r="Z33" s="17" t="n">
        <f aca="false">IF(COUNT(BP33,BQ33,BR33,BS33)=4,IFERROR(AH33/((AN33+BG33)/2)-BA33/((BG33+BR33)/2),0),0)</f>
        <v>0.000195945105217442</v>
      </c>
      <c r="AA33" s="9" t="n">
        <f aca="false">IF(N(AJ33)&gt;0,1,0)</f>
        <v>1</v>
      </c>
      <c r="AB33" s="17" t="n">
        <f aca="false">Inputs!$C$24+Inputs!$C$25*U33+Inputs!$C$26*V33+Inputs!$C$27*W33+Inputs!$C$28*X33+Inputs!$C$29*Y33+Inputs!$C$30*Z33+Inputs!$C$31*AA33</f>
        <v>-5.44414611603841</v>
      </c>
      <c r="AD33" s="30" t="n">
        <v>3261.09</v>
      </c>
      <c r="AE33" s="30" t="n">
        <v>2738.203</v>
      </c>
      <c r="AF33" s="30" t="n">
        <v>206.241</v>
      </c>
      <c r="AG33" s="30" t="n">
        <v>29.01</v>
      </c>
      <c r="AH33" s="30" t="n">
        <v>88.532</v>
      </c>
      <c r="AI33" s="30" t="n">
        <v>66.315</v>
      </c>
      <c r="AJ33" s="30" t="n">
        <v>179.46</v>
      </c>
      <c r="AK33" s="30" t="n">
        <v>323.021</v>
      </c>
      <c r="AL33" s="30" t="n">
        <v>807.431</v>
      </c>
      <c r="AM33" s="30" t="n">
        <v>1544.273</v>
      </c>
      <c r="AN33" s="30" t="n">
        <v>1894.072</v>
      </c>
      <c r="AO33" s="30" t="n">
        <v>255.406</v>
      </c>
      <c r="AP33" s="30" t="n">
        <v>315.61</v>
      </c>
      <c r="AQ33" s="30" t="s">
        <v>185</v>
      </c>
      <c r="AR33" s="30" t="n">
        <v>1.571</v>
      </c>
      <c r="AS33" s="30" t="n">
        <v>672.971</v>
      </c>
      <c r="AT33" s="30" t="n">
        <v>829.852</v>
      </c>
      <c r="AU33" s="30" t="n">
        <v>20.577</v>
      </c>
      <c r="AV33" s="30" t="n">
        <v>24.921</v>
      </c>
      <c r="AW33" s="30" t="n">
        <v>3268.48</v>
      </c>
      <c r="AX33" s="30" t="n">
        <v>2754.786</v>
      </c>
      <c r="AY33" s="30" t="n">
        <v>213.882</v>
      </c>
      <c r="AZ33" s="30" t="n">
        <v>25.982</v>
      </c>
      <c r="BA33" s="30" t="n">
        <v>84.407</v>
      </c>
      <c r="BB33" s="30" t="n">
        <v>268.605</v>
      </c>
      <c r="BC33" s="30" t="n">
        <v>0</v>
      </c>
      <c r="BD33" s="30" t="n">
        <v>360.172</v>
      </c>
      <c r="BE33" s="30" t="n">
        <v>704.43</v>
      </c>
      <c r="BF33" s="30" t="n">
        <v>1520.695</v>
      </c>
      <c r="BG33" s="30" t="n">
        <v>1807.039</v>
      </c>
      <c r="BH33" s="30" t="n">
        <v>220.551</v>
      </c>
      <c r="BI33" s="30" t="n">
        <v>309.038</v>
      </c>
      <c r="BJ33" s="30" t="s">
        <v>185</v>
      </c>
      <c r="BK33" s="30" t="n">
        <v>1.571</v>
      </c>
      <c r="BL33" s="30" t="n">
        <v>671.74</v>
      </c>
      <c r="BM33" s="30" t="n">
        <v>805.486</v>
      </c>
      <c r="BN33" s="30" t="s">
        <v>185</v>
      </c>
      <c r="BO33" s="30" t="n">
        <v>23.25</v>
      </c>
      <c r="BP33" s="30" t="n">
        <v>429.574</v>
      </c>
      <c r="BQ33" s="30" t="n">
        <v>3719.399</v>
      </c>
      <c r="BR33" s="30" t="n">
        <v>1736.137</v>
      </c>
      <c r="BS33" s="30" t="n">
        <v>78.431</v>
      </c>
    </row>
    <row r="34" customFormat="false" ht="15" hidden="false" customHeight="false" outlineLevel="0" collapsed="false">
      <c r="B34" s="24" t="n">
        <v>44286</v>
      </c>
      <c r="C34" s="24" t="n">
        <v>44323</v>
      </c>
      <c r="D34" s="25" t="s">
        <v>184</v>
      </c>
      <c r="E34" s="26" t="n">
        <f aca="false">Inputs!$C$13+Inputs!$C$14*M34+Inputs!$C$15*N34+Inputs!$C$16*O34+Inputs!$C$17*P34+Inputs!$C$18*Q34+Inputs!$C$19*R34+Inputs!$C$20*S34+Inputs!$C$21*T34</f>
        <v>-1.85302230303256</v>
      </c>
      <c r="F34" s="26" t="n">
        <f aca="false">EXP(AB34)/(1+EXP(AB34))/Inputs!$C$32</f>
        <v>1.5632161336451</v>
      </c>
      <c r="G34" s="27" t="n">
        <f aca="false">IFERROR((AH34-AI34)/((AN34+BG34)/2),"n/a")</f>
        <v>0.0645660755186311</v>
      </c>
      <c r="H34" s="28" t="n">
        <f aca="false">IFERROR(AI34/AH34,"n/a")</f>
        <v>-0.402159007383191</v>
      </c>
      <c r="I34" s="29" t="n">
        <f aca="false">IFERROR(AK34/AD34*365,"n/a")</f>
        <v>43.9312918684037</v>
      </c>
      <c r="J34" s="29" t="n">
        <f aca="false">IFERROR(N(AL34)/AE34*365,"n/a")</f>
        <v>114.875491770772</v>
      </c>
      <c r="K34" s="9" t="n">
        <f aca="false">IF(E34&gt;Inputs!$C$7,1,0)</f>
        <v>0</v>
      </c>
      <c r="L34" s="9" t="n">
        <f aca="false">IF(F34&gt;Inputs!$C$8,1,0)</f>
        <v>0</v>
      </c>
      <c r="M34" s="17" t="n">
        <f aca="false">IFERROR((AK34/AD34)/(BD34/AW34),1)</f>
        <v>1.19119482785282</v>
      </c>
      <c r="N34" s="17" t="n">
        <f aca="false">IFERROR(((AW34-AX34)/AW34)/((AD34-AE34)/AD34),1)</f>
        <v>1.07086167827299</v>
      </c>
      <c r="O34" s="17" t="n">
        <f aca="false">IFERROR((1-(AM34+AO34)/AN34)/(1-(BF34+BH34)/BG34),1)</f>
        <v>1.12795848658561</v>
      </c>
      <c r="P34" s="17" t="n">
        <f aca="false">IFERROR(AD34/AW34,1)</f>
        <v>1.02643728113365</v>
      </c>
      <c r="Q34" s="17" t="n">
        <f aca="false">IFERROR((AZ34/(AZ34+BH34))/(AG34/(AG34+AO34)),1)</f>
        <v>1.0712914851791</v>
      </c>
      <c r="R34" s="17" t="n">
        <f aca="false">IFERROR((AF34/AD34)/(AY34/AW34),1)</f>
        <v>0.796997457187361</v>
      </c>
      <c r="S34" s="17" t="n">
        <f aca="false">IFERROR((AH34-AI34)/AN34,0)</f>
        <v>0.0639425867002862</v>
      </c>
      <c r="T34" s="17" t="n">
        <f aca="false">IFERROR(((AS34+N(AU34))/AN34)/((BL34+N(BN34))/BG34),1)</f>
        <v>1.01197588827862</v>
      </c>
      <c r="U34" s="17" t="n">
        <f aca="false">IFERROR((((AM34-AP34-N(AQ34))-(AS34-N(AV34))+(AN34-AM34-N(AR34))-(AT34-AS34-N(AU34))+(N(AQ34)+N(AR34))-(N(AU34)+N(AV34)))-((BF34-BI34-N(BJ34))-(BL34-N(BO34))+(BG34-BF34-N(BK34))-(BM34-BL34-N(BN34))+(N(BJ34)+N(BK34))-(N(BN34)+N(BO34))))/((AN34+BG34)/2),0)</f>
        <v>0.0699749133383647</v>
      </c>
      <c r="V34" s="17" t="n">
        <f aca="false">IFERROR((AK34-BD34)/((AN34+BG34)/2),0)</f>
        <v>0.0374799574446159</v>
      </c>
      <c r="W34" s="17" t="n">
        <f aca="false">IFERROR((N(AL34)-N(BE34))/((AN34+BG34)/2),0)</f>
        <v>0.0190332289655465</v>
      </c>
      <c r="X34" s="17" t="n">
        <f aca="false">IFERROR((AN34-N(AO34)-AP34)/AN34,0)</f>
        <v>0.778141321966741</v>
      </c>
      <c r="Y34" s="17" t="n">
        <f aca="false">IF(COUNT(BP34,BQ34,BR34,BS34)=4,IFERROR((AD34-(AK34-BD34))/(AW34-(BD34-BP34))-1,0),0)</f>
        <v>0.00570758811185979</v>
      </c>
      <c r="Z34" s="17" t="n">
        <f aca="false">IF(COUNT(BP34,BQ34,BR34,BS34)=4,IFERROR(AH34/((AN34+BG34)/2)-BA34/((BG34+BR34)/2),0),0)</f>
        <v>-0.0041658704192765</v>
      </c>
      <c r="AA34" s="9" t="n">
        <f aca="false">IF(N(AJ34)&gt;0,1,0)</f>
        <v>1</v>
      </c>
      <c r="AB34" s="17" t="n">
        <f aca="false">Inputs!$C$24+Inputs!$C$25*U34+Inputs!$C$26*V34+Inputs!$C$27*W34+Inputs!$C$28*X34+Inputs!$C$29*Y34+Inputs!$C$30*Z34+Inputs!$C$31*AA34</f>
        <v>-5.14687644494911</v>
      </c>
      <c r="AD34" s="30" t="n">
        <v>3384.563</v>
      </c>
      <c r="AE34" s="30" t="n">
        <v>2872.019</v>
      </c>
      <c r="AF34" s="30" t="n">
        <v>186.063</v>
      </c>
      <c r="AG34" s="30" t="n">
        <v>28.804</v>
      </c>
      <c r="AH34" s="30" t="n">
        <v>91.153</v>
      </c>
      <c r="AI34" s="30" t="n">
        <v>-36.658</v>
      </c>
      <c r="AJ34" s="30" t="n">
        <v>217.016</v>
      </c>
      <c r="AK34" s="30" t="n">
        <v>407.365</v>
      </c>
      <c r="AL34" s="30" t="n">
        <v>903.903</v>
      </c>
      <c r="AM34" s="30" t="n">
        <v>1639.65</v>
      </c>
      <c r="AN34" s="30" t="n">
        <v>1998.84</v>
      </c>
      <c r="AO34" s="30" t="n">
        <v>265.566</v>
      </c>
      <c r="AP34" s="30" t="n">
        <v>177.894</v>
      </c>
      <c r="AQ34" s="30" t="s">
        <v>185</v>
      </c>
      <c r="AR34" s="30" t="n">
        <v>1.571</v>
      </c>
      <c r="AS34" s="30" t="n">
        <v>781.996</v>
      </c>
      <c r="AT34" s="30" t="n">
        <v>944.892</v>
      </c>
      <c r="AU34" s="30" t="n">
        <v>27.867</v>
      </c>
      <c r="AV34" s="30" t="n">
        <v>57.503</v>
      </c>
      <c r="AW34" s="30" t="n">
        <v>3297.389</v>
      </c>
      <c r="AX34" s="30" t="n">
        <v>2762.662</v>
      </c>
      <c r="AY34" s="30" t="n">
        <v>227.442</v>
      </c>
      <c r="AZ34" s="30" t="n">
        <v>26.989</v>
      </c>
      <c r="BA34" s="30" t="n">
        <v>89.568</v>
      </c>
      <c r="BB34" s="30" t="n">
        <v>147.57</v>
      </c>
      <c r="BC34" s="30" t="n">
        <v>10</v>
      </c>
      <c r="BD34" s="30" t="n">
        <v>333.172</v>
      </c>
      <c r="BE34" s="30" t="n">
        <v>866.226</v>
      </c>
      <c r="BF34" s="30" t="n">
        <v>1648.359</v>
      </c>
      <c r="BG34" s="30" t="n">
        <v>1960.236</v>
      </c>
      <c r="BH34" s="30" t="n">
        <v>230.477</v>
      </c>
      <c r="BI34" s="30" t="n">
        <v>300.859</v>
      </c>
      <c r="BJ34" s="30" t="s">
        <v>185</v>
      </c>
      <c r="BK34" s="30" t="n">
        <v>1.571</v>
      </c>
      <c r="BL34" s="30" t="n">
        <v>784.823</v>
      </c>
      <c r="BM34" s="30" t="n">
        <v>921.841</v>
      </c>
      <c r="BN34" s="30" t="s">
        <v>185</v>
      </c>
      <c r="BO34" s="30" t="n">
        <v>33.158</v>
      </c>
      <c r="BP34" s="30" t="n">
        <v>327.366</v>
      </c>
      <c r="BQ34" s="30" t="n">
        <v>3627.788</v>
      </c>
      <c r="BR34" s="30" t="n">
        <v>1607.252</v>
      </c>
      <c r="BS34" s="30" t="n">
        <v>74.482</v>
      </c>
    </row>
    <row r="35" customFormat="false" ht="15" hidden="false" customHeight="false" outlineLevel="0" collapsed="false">
      <c r="B35" s="24" t="n">
        <v>44377</v>
      </c>
      <c r="C35" s="24" t="n">
        <v>44435</v>
      </c>
      <c r="D35" s="25" t="s">
        <v>184</v>
      </c>
      <c r="E35" s="26" t="n">
        <f aca="false">Inputs!$C$13+Inputs!$C$14*M35+Inputs!$C$15*N35+Inputs!$C$16*O35+Inputs!$C$17*P35+Inputs!$C$18*Q35+Inputs!$C$19*R35+Inputs!$C$20*S35+Inputs!$C$21*T35</f>
        <v>-2.38844901330391</v>
      </c>
      <c r="F35" s="26" t="n">
        <f aca="false">EXP(AB35)/(1+EXP(AB35))/Inputs!$C$32</f>
        <v>1.56496730322808</v>
      </c>
      <c r="G35" s="27" t="n">
        <f aca="false">IFERROR((AH35-AI35)/((AN35+BG35)/2),"n/a")</f>
        <v>-0.00533094906756461</v>
      </c>
      <c r="H35" s="28" t="n">
        <f aca="false">IFERROR(AI35/AH35,"n/a")</f>
        <v>1.09913735305949</v>
      </c>
      <c r="I35" s="29" t="n">
        <f aca="false">IFERROR(AK35/AD35*365,"n/a")</f>
        <v>47.5904770364607</v>
      </c>
      <c r="J35" s="29" t="n">
        <f aca="false">IFERROR(N(AL35)/AE35*365,"n/a")</f>
        <v>125.691842624461</v>
      </c>
      <c r="K35" s="9" t="n">
        <f aca="false">IF(E35&gt;Inputs!$C$7,1,0)</f>
        <v>0</v>
      </c>
      <c r="L35" s="9" t="n">
        <f aca="false">IF(F35&gt;Inputs!$C$8,1,0)</f>
        <v>0</v>
      </c>
      <c r="M35" s="17" t="n">
        <f aca="false">IFERROR((AK35/AD35)/(BD35/AW35),1)</f>
        <v>1.07838292580774</v>
      </c>
      <c r="N35" s="17" t="n">
        <f aca="false">IFERROR(((AW35-AX35)/AW35)/((AD35-AE35)/AD35),1)</f>
        <v>1.04872816762946</v>
      </c>
      <c r="O35" s="17" t="n">
        <f aca="false">IFERROR((1-(AM35+AO35)/AN35)/(1-(BF35+BH35)/BG35),1)</f>
        <v>0.929120072829893</v>
      </c>
      <c r="P35" s="17" t="n">
        <f aca="false">IFERROR(AD35/AW35,1)</f>
        <v>1.0653257392834</v>
      </c>
      <c r="Q35" s="17" t="n">
        <f aca="false">IFERROR((AZ35/(AZ35+BH35))/(AG35/(AG35+AO35)),1)</f>
        <v>1.16672701174055</v>
      </c>
      <c r="R35" s="17" t="n">
        <f aca="false">IFERROR((AF35/AD35)/(AY35/AW35),1)</f>
        <v>0.797902450664816</v>
      </c>
      <c r="S35" s="17" t="n">
        <f aca="false">IFERROR((AH35-AI35)/AN35,0)</f>
        <v>-0.00494655578769329</v>
      </c>
      <c r="T35" s="17" t="n">
        <f aca="false">IFERROR(((AS35+N(AU35))/AN35)/((BL35+N(BN35))/BG35),1)</f>
        <v>1.20401925603867</v>
      </c>
      <c r="U35" s="17" t="n">
        <f aca="false">IFERROR((((AM35-AP35-N(AQ35))-(AS35-N(AV35))+(AN35-AM35-N(AR35))-(AT35-AS35-N(AU35))+(N(AQ35)+N(AR35))-(N(AU35)+N(AV35)))-((BF35-BI35-N(BJ35))-(BL35-N(BO35))+(BG35-BF35-N(BK35))-(BM35-BL35-N(BN35))+(N(BJ35)+N(BK35))-(N(BN35)+N(BO35))))/((AN35+BG35)/2),0)</f>
        <v>0.00430609934600924</v>
      </c>
      <c r="V35" s="17" t="n">
        <f aca="false">IFERROR((AK35-BD35)/((AN35+BG35)/2),0)</f>
        <v>0.0288847068098188</v>
      </c>
      <c r="W35" s="17" t="n">
        <f aca="false">IFERROR((N(AL35)-N(BE35))/((AN35+BG35)/2),0)</f>
        <v>0.0910760681726958</v>
      </c>
      <c r="X35" s="17" t="n">
        <f aca="false">IFERROR((AN35-N(AO35)-AP35)/AN35,0)</f>
        <v>0.773868358278724</v>
      </c>
      <c r="Y35" s="17" t="n">
        <f aca="false">IF(COUNT(BP35,BQ35,BR35,BS35)=4,IFERROR((AD35-(AK35-BD35))/(AW35-(BD35-BP35))-1,0),0)</f>
        <v>0.0505151449614918</v>
      </c>
      <c r="Z35" s="17" t="n">
        <f aca="false">IF(COUNT(BP35,BQ35,BR35,BS35)=4,IFERROR(AH35/((AN35+BG35)/2)-BA35/((BG35+BR35)/2),0),0)</f>
        <v>0.00695171464286549</v>
      </c>
      <c r="AA35" s="9" t="n">
        <f aca="false">IF(N(AJ35)&gt;0,1,0)</f>
        <v>1</v>
      </c>
      <c r="AB35" s="17" t="n">
        <f aca="false">Inputs!$C$24+Inputs!$C$25*U35+Inputs!$C$26*V35+Inputs!$C$27*W35+Inputs!$C$28*X35+Inputs!$C$29*Y35+Inputs!$C$30*Z35+Inputs!$C$31*AA35</f>
        <v>-5.14575031980099</v>
      </c>
      <c r="AD35" s="30" t="n">
        <v>3557.422</v>
      </c>
      <c r="AE35" s="30" t="n">
        <v>3022.884</v>
      </c>
      <c r="AF35" s="30" t="n">
        <v>186.222</v>
      </c>
      <c r="AG35" s="30" t="n">
        <v>28.185</v>
      </c>
      <c r="AH35" s="30" t="n">
        <v>111.865</v>
      </c>
      <c r="AI35" s="30" t="n">
        <v>122.955</v>
      </c>
      <c r="AJ35" s="30" t="n">
        <v>127.059</v>
      </c>
      <c r="AK35" s="30" t="n">
        <v>463.834</v>
      </c>
      <c r="AL35" s="30" t="n">
        <v>1040.964</v>
      </c>
      <c r="AM35" s="30" t="n">
        <v>1867.259</v>
      </c>
      <c r="AN35" s="30" t="n">
        <v>2241.964</v>
      </c>
      <c r="AO35" s="30" t="n">
        <v>274.713</v>
      </c>
      <c r="AP35" s="30" t="n">
        <v>232.266</v>
      </c>
      <c r="AQ35" s="30" t="s">
        <v>185</v>
      </c>
      <c r="AR35" s="30" t="n">
        <v>1.556</v>
      </c>
      <c r="AS35" s="30" t="n">
        <v>968.896</v>
      </c>
      <c r="AT35" s="30" t="n">
        <v>1145.566</v>
      </c>
      <c r="AU35" s="30" t="n">
        <v>34.7</v>
      </c>
      <c r="AV35" s="30" t="n">
        <v>63.49</v>
      </c>
      <c r="AW35" s="30" t="n">
        <v>3339.281</v>
      </c>
      <c r="AX35" s="30" t="n">
        <v>2813.071</v>
      </c>
      <c r="AY35" s="30" t="n">
        <v>219.078</v>
      </c>
      <c r="AZ35" s="30" t="n">
        <v>28.472</v>
      </c>
      <c r="BA35" s="30" t="n">
        <v>84.308</v>
      </c>
      <c r="BB35" s="30" t="n">
        <v>-30.334</v>
      </c>
      <c r="BC35" s="30" t="n">
        <v>164.791</v>
      </c>
      <c r="BD35" s="30" t="n">
        <v>403.745</v>
      </c>
      <c r="BE35" s="30" t="n">
        <v>851.498</v>
      </c>
      <c r="BF35" s="30" t="n">
        <v>1592.761</v>
      </c>
      <c r="BG35" s="30" t="n">
        <v>1918.646</v>
      </c>
      <c r="BH35" s="30" t="n">
        <v>233.785</v>
      </c>
      <c r="BI35" s="30" t="n">
        <v>210.533</v>
      </c>
      <c r="BJ35" s="30" t="s">
        <v>185</v>
      </c>
      <c r="BK35" s="30" t="n">
        <v>1.571</v>
      </c>
      <c r="BL35" s="30" t="n">
        <v>707.635</v>
      </c>
      <c r="BM35" s="30" t="n">
        <v>852.939</v>
      </c>
      <c r="BN35" s="30" t="n">
        <v>5.697</v>
      </c>
      <c r="BO35" s="30" t="n">
        <v>23.704</v>
      </c>
      <c r="BP35" s="30" t="n">
        <v>393.624</v>
      </c>
      <c r="BQ35" s="30" t="n">
        <v>3500.36</v>
      </c>
      <c r="BR35" s="30" t="n">
        <v>1682.594</v>
      </c>
      <c r="BS35" s="30" t="n">
        <v>71.918</v>
      </c>
    </row>
    <row r="36" customFormat="false" ht="15" hidden="false" customHeight="false" outlineLevel="0" collapsed="false">
      <c r="B36" s="24" t="n">
        <v>44469</v>
      </c>
      <c r="C36" s="24" t="n">
        <v>44505</v>
      </c>
      <c r="D36" s="25" t="s">
        <v>184</v>
      </c>
      <c r="E36" s="26" t="n">
        <f aca="false">Inputs!$C$13+Inputs!$C$14*M36+Inputs!$C$15*N36+Inputs!$C$16*O36+Inputs!$C$17*P36+Inputs!$C$18*Q36+Inputs!$C$19*R36+Inputs!$C$20*S36+Inputs!$C$21*T36</f>
        <v>-1.74158413229614</v>
      </c>
      <c r="F36" s="26" t="n">
        <f aca="false">EXP(AB36)/(1+EXP(AB36))/Inputs!$C$32</f>
        <v>2.00198140687297</v>
      </c>
      <c r="G36" s="27" t="n">
        <f aca="false">IFERROR((AH36-AI36)/((AN36+BG36)/2),"n/a")</f>
        <v>0.114470849458428</v>
      </c>
      <c r="H36" s="28" t="n">
        <f aca="false">IFERROR(AI36/AH36,"n/a")</f>
        <v>-1.19394585414766</v>
      </c>
      <c r="I36" s="29" t="n">
        <f aca="false">IFERROR(AK36/AD36*365,"n/a")</f>
        <v>43.6786887438602</v>
      </c>
      <c r="J36" s="29" t="n">
        <f aca="false">IFERROR(N(AL36)/AE36*365,"n/a")</f>
        <v>131.613613118467</v>
      </c>
      <c r="K36" s="9" t="n">
        <f aca="false">IF(E36&gt;Inputs!$C$7,1,0)</f>
        <v>1</v>
      </c>
      <c r="L36" s="9" t="n">
        <f aca="false">IF(F36&gt;Inputs!$C$8,1,0)</f>
        <v>1</v>
      </c>
      <c r="M36" s="17" t="n">
        <f aca="false">IFERROR((AK36/AD36)/(BD36/AW36),1)</f>
        <v>1.22383769089072</v>
      </c>
      <c r="N36" s="17" t="n">
        <f aca="false">IFERROR(((AW36-AX36)/AW36)/((AD36-AE36)/AD36),1)</f>
        <v>1.12184181871578</v>
      </c>
      <c r="O36" s="17" t="n">
        <f aca="false">IFERROR((1-(AM36+AO36)/AN36)/(1-(BF36+BH36)/BG36),1)</f>
        <v>0.829288153781022</v>
      </c>
      <c r="P36" s="17" t="n">
        <f aca="false">IFERROR(AD36/AW36,1)</f>
        <v>1.15936356942897</v>
      </c>
      <c r="Q36" s="17" t="n">
        <f aca="false">IFERROR((AZ36/(AZ36+BH36))/(AG36/(AG36+AO36)),1)</f>
        <v>1.19125407186033</v>
      </c>
      <c r="R36" s="17" t="n">
        <f aca="false">IFERROR((AF36/AD36)/(AY36/AW36),1)</f>
        <v>0.742980305300359</v>
      </c>
      <c r="S36" s="17" t="n">
        <f aca="false">IFERROR((AH36-AI36)/AN36,0)</f>
        <v>0.100083529313349</v>
      </c>
      <c r="T36" s="17" t="n">
        <f aca="false">IFERROR(((AS36+N(AU36))/AN36)/((BL36+N(BN36))/BG36),1)</f>
        <v>1.42668026197292</v>
      </c>
      <c r="U36" s="17" t="n">
        <f aca="false">IFERROR((((AM36-AP36-N(AQ36))-(AS36-N(AV36))+(AN36-AM36-N(AR36))-(AT36-AS36-N(AU36))+(N(AQ36)+N(AR36))-(N(AU36)+N(AV36)))-((BF36-BI36-N(BJ36))-(BL36-N(BO36))+(BG36-BF36-N(BK36))-(BM36-BL36-N(BN36))+(N(BJ36)+N(BK36))-(N(BN36)+N(BO36))))/((AN36+BG36)/2),0)</f>
        <v>0.0424651445802952</v>
      </c>
      <c r="V36" s="17" t="n">
        <f aca="false">IFERROR((AK36-BD36)/((AN36+BG36)/2),0)</f>
        <v>0.0637373078951573</v>
      </c>
      <c r="W36" s="17" t="n">
        <f aca="false">IFERROR((N(AL36)-N(BE36))/((AN36+BG36)/2),0)</f>
        <v>0.193579844020789</v>
      </c>
      <c r="X36" s="17" t="n">
        <f aca="false">IFERROR((AN36-N(AO36)-AP36)/AN36,0)</f>
        <v>0.771625417801098</v>
      </c>
      <c r="Y36" s="17" t="n">
        <f aca="false">IF(COUNT(BP36,BQ36,BR36,BS36)=4,IFERROR((AD36-(AK36-BD36))/(AW36-(BD36-BP36))-1,0),0)</f>
        <v>0.107210492481212</v>
      </c>
      <c r="Z36" s="17" t="n">
        <f aca="false">IF(COUNT(BP36,BQ36,BR36,BS36)=4,IFERROR(AH36/((AN36+BG36)/2)-BA36/((BG36+BR36)/2),0),0)</f>
        <v>0.00410027876746838</v>
      </c>
      <c r="AA36" s="9" t="n">
        <f aca="false">IF(N(AJ36)&gt;0,1,0)</f>
        <v>1</v>
      </c>
      <c r="AB36" s="17" t="n">
        <f aca="false">Inputs!$C$24+Inputs!$C$25*U36+Inputs!$C$26*V36+Inputs!$C$27*W36+Inputs!$C$28*X36+Inputs!$C$29*Y36+Inputs!$C$30*Z36+Inputs!$C$31*AA36</f>
        <v>-4.89785016404142</v>
      </c>
      <c r="AD36" s="30" t="n">
        <v>3827.902</v>
      </c>
      <c r="AE36" s="30" t="n">
        <v>3285.14</v>
      </c>
      <c r="AF36" s="30" t="n">
        <v>185.419</v>
      </c>
      <c r="AG36" s="30" t="n">
        <v>28.216</v>
      </c>
      <c r="AH36" s="30" t="n">
        <v>110.701</v>
      </c>
      <c r="AI36" s="30" t="n">
        <v>-132.171</v>
      </c>
      <c r="AJ36" s="30" t="n">
        <v>390.457</v>
      </c>
      <c r="AK36" s="30" t="n">
        <v>458.076</v>
      </c>
      <c r="AL36" s="30" t="n">
        <v>1184.573</v>
      </c>
      <c r="AM36" s="30" t="n">
        <v>2036.955</v>
      </c>
      <c r="AN36" s="30" t="n">
        <v>2426.693</v>
      </c>
      <c r="AO36" s="30" t="n">
        <v>284.148</v>
      </c>
      <c r="AP36" s="30" t="n">
        <v>270.047</v>
      </c>
      <c r="AQ36" s="30" t="s">
        <v>185</v>
      </c>
      <c r="AR36" s="30" t="n">
        <v>1.556</v>
      </c>
      <c r="AS36" s="30" t="n">
        <v>1101.479</v>
      </c>
      <c r="AT36" s="30" t="n">
        <v>1293.895</v>
      </c>
      <c r="AU36" s="30" t="n">
        <v>45.134</v>
      </c>
      <c r="AV36" s="30" t="n">
        <v>233.674</v>
      </c>
      <c r="AW36" s="30" t="n">
        <v>3301.727</v>
      </c>
      <c r="AX36" s="30" t="n">
        <v>2776.531</v>
      </c>
      <c r="AY36" s="30" t="n">
        <v>215.257</v>
      </c>
      <c r="AZ36" s="30" t="n">
        <v>29.163</v>
      </c>
      <c r="BA36" s="30" t="n">
        <v>84.564</v>
      </c>
      <c r="BB36" s="30" t="n">
        <v>84.661</v>
      </c>
      <c r="BC36" s="30" t="n">
        <v>171.199</v>
      </c>
      <c r="BD36" s="30" t="n">
        <v>322.845</v>
      </c>
      <c r="BE36" s="30" t="n">
        <v>773.856</v>
      </c>
      <c r="BF36" s="30" t="n">
        <v>1479.521</v>
      </c>
      <c r="BG36" s="30" t="n">
        <v>1816.693</v>
      </c>
      <c r="BH36" s="30" t="n">
        <v>241.852</v>
      </c>
      <c r="BI36" s="30" t="n">
        <v>300.089</v>
      </c>
      <c r="BJ36" s="30" t="s">
        <v>185</v>
      </c>
      <c r="BK36" s="30" t="n">
        <v>1.571</v>
      </c>
      <c r="BL36" s="30" t="n">
        <v>589.688</v>
      </c>
      <c r="BM36" s="30" t="n">
        <v>743.951</v>
      </c>
      <c r="BN36" s="30" t="n">
        <v>11.98</v>
      </c>
      <c r="BO36" s="30" t="n">
        <v>24.047</v>
      </c>
      <c r="BP36" s="30" t="n">
        <v>356.23</v>
      </c>
      <c r="BQ36" s="30" t="n">
        <v>3329.046</v>
      </c>
      <c r="BR36" s="30" t="n">
        <v>1701.273</v>
      </c>
      <c r="BS36" s="30" t="n">
        <v>78.921</v>
      </c>
    </row>
    <row r="37" customFormat="false" ht="15" hidden="false" customHeight="false" outlineLevel="0" collapsed="false">
      <c r="B37" s="24" t="n">
        <v>44561</v>
      </c>
      <c r="C37" s="24" t="n">
        <v>44596</v>
      </c>
      <c r="D37" s="25" t="s">
        <v>184</v>
      </c>
      <c r="E37" s="26" t="n">
        <f aca="false">Inputs!$C$13+Inputs!$C$14*M37+Inputs!$C$15*N37+Inputs!$C$16*O37+Inputs!$C$17*P37+Inputs!$C$18*Q37+Inputs!$C$19*R37+Inputs!$C$20*S37+Inputs!$C$21*T37</f>
        <v>-1.45245316914339</v>
      </c>
      <c r="F37" s="26" t="n">
        <f aca="false">EXP(AB37)/(1+EXP(AB37))/Inputs!$C$32</f>
        <v>2.48054338832174</v>
      </c>
      <c r="G37" s="27" t="n">
        <f aca="false">IFERROR((AH37-AI37)/((AN37+BG37)/2),"n/a")</f>
        <v>0.163445478719331</v>
      </c>
      <c r="H37" s="28" t="n">
        <f aca="false">IFERROR(AI37/AH37,"n/a")</f>
        <v>-1.98920445906257</v>
      </c>
      <c r="I37" s="29" t="n">
        <f aca="false">IFERROR(AK37/AD37*365,"n/a")</f>
        <v>43.5399668826131</v>
      </c>
      <c r="J37" s="29" t="n">
        <f aca="false">IFERROR(N(AL37)/AE37*365,"n/a")</f>
        <v>141.3183613202</v>
      </c>
      <c r="K37" s="9" t="n">
        <f aca="false">IF(E37&gt;Inputs!$C$7,1,0)</f>
        <v>1</v>
      </c>
      <c r="L37" s="9" t="n">
        <f aca="false">IF(F37&gt;Inputs!$C$8,1,0)</f>
        <v>1</v>
      </c>
      <c r="M37" s="17" t="n">
        <f aca="false">IFERROR((AK37/AD37)/(BD37/AW37),1)</f>
        <v>1.20427939946244</v>
      </c>
      <c r="N37" s="17" t="n">
        <f aca="false">IFERROR(((AW37-AX37)/AW37)/((AD37-AE37)/AD37),1)</f>
        <v>1.17218334500327</v>
      </c>
      <c r="O37" s="17" t="n">
        <f aca="false">IFERROR((1-(AM37+AO37)/AN37)/(1-(BF37+BH37)/BG37),1)</f>
        <v>0.772404912006053</v>
      </c>
      <c r="P37" s="17" t="n">
        <f aca="false">IFERROR(AD37/AW37,1)</f>
        <v>1.27871815865248</v>
      </c>
      <c r="Q37" s="17" t="n">
        <f aca="false">IFERROR((AZ37/(AZ37+BH37))/(AG37/(AG37+AO37)),1)</f>
        <v>1.0731027400451</v>
      </c>
      <c r="R37" s="17" t="n">
        <f aca="false">IFERROR((AF37/AD37)/(AY37/AW37),1)</f>
        <v>0.707713067096459</v>
      </c>
      <c r="S37" s="17" t="n">
        <f aca="false">IFERROR((AH37-AI37)/AN37,0)</f>
        <v>0.139553060186012</v>
      </c>
      <c r="T37" s="17" t="n">
        <f aca="false">IFERROR(((AS37+N(AU37))/AN37)/((BL37+N(BN37))/BG37),1)</f>
        <v>1.36581082860537</v>
      </c>
      <c r="U37" s="17" t="n">
        <f aca="false">IFERROR((((AM37-AP37-N(AQ37))-(AS37-N(AV37))+(AN37-AM37-N(AR37))-(AT37-AS37-N(AU37))+(N(AQ37)+N(AR37))-(N(AU37)+N(AV37)))-((BF37-BI37-N(BJ37))-(BL37-N(BO37))+(BG37-BF37-N(BK37))-(BM37-BL37-N(BN37))+(N(BJ37)+N(BK37))-(N(BN37)+N(BO37))))/((AN37+BG37)/2),0)</f>
        <v>0.0835010328892412</v>
      </c>
      <c r="V37" s="17" t="n">
        <f aca="false">IFERROR((AK37-BD37)/((AN37+BG37)/2),0)</f>
        <v>0.0763169720702023</v>
      </c>
      <c r="W37" s="17" t="n">
        <f aca="false">IFERROR((N(AL37)-N(BE37))/((AN37+BG37)/2),0)</f>
        <v>0.256522779791339</v>
      </c>
      <c r="X37" s="17" t="n">
        <f aca="false">IFERROR((AN37-N(AO37)-AP37)/AN37,0)</f>
        <v>0.802851152319246</v>
      </c>
      <c r="Y37" s="17" t="n">
        <f aca="false">IF(COUNT(BP37,BQ37,BR37,BS37)=4,IFERROR((AD37-(AK37-BD37))/(AW37-(BD37-BP37))-1,0),0)</f>
        <v>0.211435125571479</v>
      </c>
      <c r="Z37" s="17" t="n">
        <f aca="false">IF(COUNT(BP37,BQ37,BR37,BS37)=4,IFERROR(AH37/((AN37+BG37)/2)-BA37/((BG37+BR37)/2),0),0)</f>
        <v>0.00683781791020763</v>
      </c>
      <c r="AA37" s="9" t="n">
        <f aca="false">IF(N(AJ37)&gt;0,1,0)</f>
        <v>1</v>
      </c>
      <c r="AB37" s="17" t="n">
        <f aca="false">Inputs!$C$24+Inputs!$C$25*U37+Inputs!$C$26*V37+Inputs!$C$27*W37+Inputs!$C$28*X37+Inputs!$C$29*Y37+Inputs!$C$30*Z37+Inputs!$C$31*AA37</f>
        <v>-4.68172442699305</v>
      </c>
      <c r="AD37" s="30" t="n">
        <v>4170.015</v>
      </c>
      <c r="AE37" s="30" t="n">
        <v>3599.605</v>
      </c>
      <c r="AF37" s="30" t="n">
        <v>186.641</v>
      </c>
      <c r="AG37" s="30" t="n">
        <v>29.439</v>
      </c>
      <c r="AH37" s="30" t="n">
        <v>124.959</v>
      </c>
      <c r="AI37" s="30" t="n">
        <v>-248.569</v>
      </c>
      <c r="AJ37" s="30" t="n">
        <v>700.109</v>
      </c>
      <c r="AK37" s="30" t="n">
        <v>497.431</v>
      </c>
      <c r="AL37" s="30" t="n">
        <v>1393.672</v>
      </c>
      <c r="AM37" s="30" t="n">
        <v>2293.288</v>
      </c>
      <c r="AN37" s="30" t="n">
        <v>2676.602</v>
      </c>
      <c r="AO37" s="30" t="n">
        <v>280.282</v>
      </c>
      <c r="AP37" s="30" t="n">
        <v>247.407</v>
      </c>
      <c r="AQ37" s="30" t="s">
        <v>185</v>
      </c>
      <c r="AR37" s="30" t="n">
        <v>1.556</v>
      </c>
      <c r="AS37" s="30" t="n">
        <v>1199.579</v>
      </c>
      <c r="AT37" s="30" t="n">
        <v>1489.757</v>
      </c>
      <c r="AU37" s="30" t="n">
        <v>139.032</v>
      </c>
      <c r="AV37" s="30" t="n">
        <v>176.904</v>
      </c>
      <c r="AW37" s="30" t="n">
        <v>3261.09</v>
      </c>
      <c r="AX37" s="30" t="n">
        <v>2738.203</v>
      </c>
      <c r="AY37" s="30" t="n">
        <v>206.241</v>
      </c>
      <c r="AZ37" s="30" t="n">
        <v>29.01</v>
      </c>
      <c r="BA37" s="30" t="n">
        <v>88.532</v>
      </c>
      <c r="BB37" s="30" t="n">
        <v>66.315</v>
      </c>
      <c r="BC37" s="30" t="n">
        <v>179.46</v>
      </c>
      <c r="BD37" s="30" t="n">
        <v>323.021</v>
      </c>
      <c r="BE37" s="30" t="n">
        <v>807.431</v>
      </c>
      <c r="BF37" s="30" t="n">
        <v>1544.273</v>
      </c>
      <c r="BG37" s="30" t="n">
        <v>1894.072</v>
      </c>
      <c r="BH37" s="30" t="n">
        <v>255.406</v>
      </c>
      <c r="BI37" s="30" t="n">
        <v>315.61</v>
      </c>
      <c r="BJ37" s="30" t="s">
        <v>185</v>
      </c>
      <c r="BK37" s="30" t="n">
        <v>1.571</v>
      </c>
      <c r="BL37" s="30" t="n">
        <v>672.971</v>
      </c>
      <c r="BM37" s="30" t="n">
        <v>829.852</v>
      </c>
      <c r="BN37" s="30" t="n">
        <v>20.577</v>
      </c>
      <c r="BO37" s="30" t="n">
        <v>24.921</v>
      </c>
      <c r="BP37" s="30" t="n">
        <v>360.172</v>
      </c>
      <c r="BQ37" s="30" t="n">
        <v>3268.48</v>
      </c>
      <c r="BR37" s="30" t="n">
        <v>1807.039</v>
      </c>
      <c r="BS37" s="30" t="n">
        <v>84.407</v>
      </c>
    </row>
    <row r="38" customFormat="false" ht="15" hidden="false" customHeight="false" outlineLevel="0" collapsed="false">
      <c r="B38" s="24" t="n">
        <v>44651</v>
      </c>
      <c r="C38" s="24" t="n">
        <v>44687</v>
      </c>
      <c r="D38" s="25" t="s">
        <v>184</v>
      </c>
      <c r="E38" s="26" t="n">
        <f aca="false">Inputs!$C$13+Inputs!$C$14*M38+Inputs!$C$15*N38+Inputs!$C$16*O38+Inputs!$C$17*P38+Inputs!$C$18*Q38+Inputs!$C$19*R38+Inputs!$C$20*S38+Inputs!$C$21*T38</f>
        <v>-1.25444731015077</v>
      </c>
      <c r="F38" s="26" t="n">
        <f aca="false">EXP(AB38)/(1+EXP(AB38))/Inputs!$C$32</f>
        <v>2.80469560315659</v>
      </c>
      <c r="G38" s="27" t="n">
        <f aca="false">IFERROR((AH38-AI38)/((AN38+BG38)/2),"n/a")</f>
        <v>0.211280553891634</v>
      </c>
      <c r="H38" s="28" t="n">
        <f aca="false">IFERROR(AI38/AH38,"n/a")</f>
        <v>-1.9187424728751</v>
      </c>
      <c r="I38" s="29" t="n">
        <f aca="false">IFERROR(AK38/AD38*365,"n/a")</f>
        <v>53.5943145706865</v>
      </c>
      <c r="J38" s="29" t="n">
        <f aca="false">IFERROR(N(AL38)/AE38*365,"n/a")</f>
        <v>145.996287004061</v>
      </c>
      <c r="K38" s="9" t="n">
        <f aca="false">IF(E38&gt;Inputs!$C$7,1,0)</f>
        <v>1</v>
      </c>
      <c r="L38" s="9" t="n">
        <f aca="false">IF(F38&gt;Inputs!$C$8,1,0)</f>
        <v>1</v>
      </c>
      <c r="M38" s="17" t="n">
        <f aca="false">IFERROR((AK38/AD38)/(BD38/AW38),1)</f>
        <v>1.21995762681481</v>
      </c>
      <c r="N38" s="17" t="n">
        <f aca="false">IFERROR(((AW38-AX38)/AW38)/((AD38-AE38)/AD38),1)</f>
        <v>1.06521557799857</v>
      </c>
      <c r="O38" s="17" t="n">
        <f aca="false">IFERROR((1-(AM38+AO38)/AN38)/(1-(BF38+BH38)/BG38),1)</f>
        <v>0.765672227081157</v>
      </c>
      <c r="P38" s="17" t="n">
        <f aca="false">IFERROR(AD38/AW38,1)</f>
        <v>1.36786462535932</v>
      </c>
      <c r="Q38" s="17" t="n">
        <f aca="false">IFERROR((AZ38/(AZ38+BH38))/(AG38/(AG38+AO38)),1)</f>
        <v>0.990989442225722</v>
      </c>
      <c r="R38" s="17" t="n">
        <f aca="false">IFERROR((AF38/AD38)/(AY38/AW38),1)</f>
        <v>0.741506206550862</v>
      </c>
      <c r="S38" s="17" t="n">
        <f aca="false">IFERROR((AH38-AI38)/AN38,0)</f>
        <v>0.174395028355578</v>
      </c>
      <c r="T38" s="17" t="n">
        <f aca="false">IFERROR(((AS38+N(AU38))/AN38)/((BL38+N(BN38))/BG38),1)</f>
        <v>1.31843435342478</v>
      </c>
      <c r="U38" s="17" t="n">
        <f aca="false">IFERROR((((AM38-AP38-N(AQ38))-(AS38-N(AV38))+(AN38-AM38-N(AR38))-(AT38-AS38-N(AU38))+(N(AQ38)+N(AR38))-(N(AU38)+N(AV38)))-((BF38-BI38-N(BJ38))-(BL38-N(BO38))+(BG38-BF38-N(BK38))-(BM38-BL38-N(BN38))+(N(BJ38)+N(BK38))-(N(BN38)+N(BO38))))/((AN38+BG38)/2),0)</f>
        <v>0.0593453631417805</v>
      </c>
      <c r="V38" s="17" t="n">
        <f aca="false">IFERROR((AK38-BD38)/((AN38+BG38)/2),0)</f>
        <v>0.107463150518036</v>
      </c>
      <c r="W38" s="17" t="n">
        <f aca="false">IFERROR((N(AL38)-N(BE38))/((AN38+BG38)/2),0)</f>
        <v>0.270073650640619</v>
      </c>
      <c r="X38" s="17" t="n">
        <f aca="false">IFERROR((AN38-N(AO38)-AP38)/AN38,0)</f>
        <v>0.827511406864534</v>
      </c>
      <c r="Y38" s="17" t="n">
        <f aca="false">IF(COUNT(BP38,BQ38,BR38,BS38)=4,IFERROR((AD38-(AK38-BD38))/(AW38-(BD38-BP38))-1,0),0)</f>
        <v>0.316228699510931</v>
      </c>
      <c r="Z38" s="17" t="n">
        <f aca="false">IF(COUNT(BP38,BQ38,BR38,BS38)=4,IFERROR(AH38/((AN38+BG38)/2)-BA38/((BG38+BR38)/2),0),0)</f>
        <v>0.0263399153537</v>
      </c>
      <c r="AA38" s="9" t="n">
        <f aca="false">IF(N(AJ38)&gt;0,1,0)</f>
        <v>1</v>
      </c>
      <c r="AB38" s="17" t="n">
        <f aca="false">Inputs!$C$24+Inputs!$C$25*U38+Inputs!$C$26*V38+Inputs!$C$27*W38+Inputs!$C$28*X38+Inputs!$C$29*Y38+Inputs!$C$30*Z38+Inputs!$C$31*AA38</f>
        <v>-4.55769585150897</v>
      </c>
      <c r="AD38" s="30" t="n">
        <v>4629.624</v>
      </c>
      <c r="AE38" s="30" t="n">
        <v>3971.456</v>
      </c>
      <c r="AF38" s="30" t="n">
        <v>188.72</v>
      </c>
      <c r="AG38" s="30" t="n">
        <v>30.93</v>
      </c>
      <c r="AH38" s="30" t="n">
        <v>183.503</v>
      </c>
      <c r="AI38" s="30" t="n">
        <v>-352.095</v>
      </c>
      <c r="AJ38" s="30" t="n">
        <v>1002.909</v>
      </c>
      <c r="AK38" s="30" t="n">
        <v>679.785</v>
      </c>
      <c r="AL38" s="30" t="n">
        <v>1588.542</v>
      </c>
      <c r="AM38" s="30" t="n">
        <v>2678.715</v>
      </c>
      <c r="AN38" s="30" t="n">
        <v>3071.177</v>
      </c>
      <c r="AO38" s="30" t="n">
        <v>282.319</v>
      </c>
      <c r="AP38" s="30" t="n">
        <v>247.424</v>
      </c>
      <c r="AQ38" s="30" t="s">
        <v>185</v>
      </c>
      <c r="AR38" s="30" t="n">
        <v>1.556</v>
      </c>
      <c r="AS38" s="30" t="n">
        <v>1496.155</v>
      </c>
      <c r="AT38" s="30" t="n">
        <v>1797.258</v>
      </c>
      <c r="AU38" s="30" t="n">
        <v>144.423</v>
      </c>
      <c r="AV38" s="30" t="n">
        <v>403.045</v>
      </c>
      <c r="AW38" s="30" t="n">
        <v>3384.563</v>
      </c>
      <c r="AX38" s="30" t="n">
        <v>2872.019</v>
      </c>
      <c r="AY38" s="30" t="n">
        <v>186.063</v>
      </c>
      <c r="AZ38" s="30" t="n">
        <v>28.804</v>
      </c>
      <c r="BA38" s="30" t="n">
        <v>91.153</v>
      </c>
      <c r="BB38" s="30" t="n">
        <v>-36.658</v>
      </c>
      <c r="BC38" s="30" t="n">
        <v>217.016</v>
      </c>
      <c r="BD38" s="30" t="n">
        <v>407.365</v>
      </c>
      <c r="BE38" s="30" t="n">
        <v>903.903</v>
      </c>
      <c r="BF38" s="30" t="n">
        <v>1639.65</v>
      </c>
      <c r="BG38" s="30" t="n">
        <v>1998.84</v>
      </c>
      <c r="BH38" s="30" t="n">
        <v>265.566</v>
      </c>
      <c r="BI38" s="30" t="n">
        <v>177.894</v>
      </c>
      <c r="BJ38" s="30" t="s">
        <v>185</v>
      </c>
      <c r="BK38" s="30" t="n">
        <v>1.571</v>
      </c>
      <c r="BL38" s="30" t="n">
        <v>781.996</v>
      </c>
      <c r="BM38" s="30" t="n">
        <v>944.892</v>
      </c>
      <c r="BN38" s="30" t="n">
        <v>27.867</v>
      </c>
      <c r="BO38" s="30" t="n">
        <v>57.503</v>
      </c>
      <c r="BP38" s="30" t="n">
        <v>333.172</v>
      </c>
      <c r="BQ38" s="30" t="n">
        <v>3297.389</v>
      </c>
      <c r="BR38" s="30" t="n">
        <v>1960.236</v>
      </c>
      <c r="BS38" s="30" t="n">
        <v>89.568</v>
      </c>
    </row>
    <row r="39" customFormat="false" ht="15" hidden="false" customHeight="false" outlineLevel="0" collapsed="false">
      <c r="B39" s="24" t="n">
        <v>44742</v>
      </c>
      <c r="C39" s="24" t="n">
        <v>44802</v>
      </c>
      <c r="D39" s="25" t="s">
        <v>184</v>
      </c>
      <c r="E39" s="26" t="n">
        <f aca="false">Inputs!$C$13+Inputs!$C$14*M39+Inputs!$C$15*N39+Inputs!$C$16*O39+Inputs!$C$17*P39+Inputs!$C$18*Q39+Inputs!$C$19*R39+Inputs!$C$20*S39+Inputs!$C$21*T39</f>
        <v>-0.895510858078811</v>
      </c>
      <c r="F39" s="26" t="n">
        <f aca="false">EXP(AB39)/(1+EXP(AB39))/Inputs!$C$32</f>
        <v>2.79697072231643</v>
      </c>
      <c r="G39" s="27" t="n">
        <f aca="false">IFERROR((AH39-AI39)/((AN39+BG39)/2),"n/a")</f>
        <v>0.266553528787465</v>
      </c>
      <c r="H39" s="28" t="n">
        <f aca="false">IFERROR(AI39/AH39,"n/a")</f>
        <v>-1.54578609426889</v>
      </c>
      <c r="I39" s="29" t="n">
        <f aca="false">IFERROR(AK39/AD39*365,"n/a")</f>
        <v>58.6203698197436</v>
      </c>
      <c r="J39" s="29" t="n">
        <f aca="false">IFERROR(N(AL39)/AE39*365,"n/a")</f>
        <v>128.328847537066</v>
      </c>
      <c r="K39" s="9" t="n">
        <f aca="false">IF(E39&gt;Inputs!$C$7,1,0)</f>
        <v>1</v>
      </c>
      <c r="L39" s="9" t="n">
        <f aca="false">IF(F39&gt;Inputs!$C$8,1,0)</f>
        <v>1</v>
      </c>
      <c r="M39" s="17" t="n">
        <f aca="false">IFERROR((AK39/AD39)/(BD39/AW39),1)</f>
        <v>1.2317668044141</v>
      </c>
      <c r="N39" s="17" t="n">
        <f aca="false">IFERROR(((AW39-AX39)/AW39)/((AD39-AE39)/AD39),1)</f>
        <v>0.975955655308774</v>
      </c>
      <c r="O39" s="17" t="n">
        <f aca="false">IFERROR((1-(AM39+AO39)/AN39)/(1-(BF39+BH39)/BG39),1)</f>
        <v>0.789033620309496</v>
      </c>
      <c r="P39" s="17" t="n">
        <f aca="false">IFERROR(AD39/AW39,1)</f>
        <v>1.46063610108669</v>
      </c>
      <c r="Q39" s="17" t="n">
        <f aca="false">IFERROR((AZ39/(AZ39+BH39))/(AG39/(AG39+AO39)),1)</f>
        <v>0.912552115905309</v>
      </c>
      <c r="R39" s="17" t="n">
        <f aca="false">IFERROR((AF39/AD39)/(AY39/AW39),1)</f>
        <v>0.707938148307364</v>
      </c>
      <c r="S39" s="17" t="n">
        <f aca="false">IFERROR((AH39-AI39)/AN39,0)</f>
        <v>0.226504386634081</v>
      </c>
      <c r="T39" s="17" t="n">
        <f aca="false">IFERROR(((AS39+N(AU39))/AN39)/((BL39+N(BN39))/BG39),1)</f>
        <v>1.12749249479597</v>
      </c>
      <c r="U39" s="17" t="n">
        <f aca="false">IFERROR((((AM39-AP39-N(AQ39))-(AS39-N(AV39))+(AN39-AM39-N(AR39))-(AT39-AS39-N(AU39))+(N(AQ39)+N(AR39))-(N(AU39)+N(AV39)))-((BF39-BI39-N(BJ39))-(BL39-N(BO39))+(BG39-BF39-N(BK39))-(BM39-BL39-N(BN39))+(N(BJ39)+N(BK39))-(N(BN39)+N(BO39))))/((AN39+BG39)/2),0)</f>
        <v>0.108028560827796</v>
      </c>
      <c r="V39" s="17" t="n">
        <f aca="false">IFERROR((AK39-BD39)/((AN39+BG39)/2),0)</f>
        <v>0.136102885952208</v>
      </c>
      <c r="W39" s="17" t="n">
        <f aca="false">IFERROR((N(AL39)-N(BE39))/((AN39+BG39)/2),0)</f>
        <v>0.18529032551802</v>
      </c>
      <c r="X39" s="17" t="n">
        <f aca="false">IFERROR((AN39-N(AO39)-AP39)/AN39,0)</f>
        <v>0.827346113681512</v>
      </c>
      <c r="Y39" s="17" t="n">
        <f aca="false">IF(COUNT(BP39,BQ39,BR39,BS39)=4,IFERROR((AD39-(AK39-BD39))/(AW39-(BD39-BP39))-1,0),0)</f>
        <v>0.379742792579374</v>
      </c>
      <c r="Z39" s="17" t="n">
        <f aca="false">IF(COUNT(BP39,BQ39,BR39,BS39)=4,IFERROR(AH39/((AN39+BG39)/2)-BA39/((BG39+BR39)/2),0),0)</f>
        <v>0.0509304549638755</v>
      </c>
      <c r="AA39" s="9" t="n">
        <f aca="false">IF(N(AJ39)&gt;0,1,0)</f>
        <v>1</v>
      </c>
      <c r="AB39" s="17" t="n">
        <f aca="false">Inputs!$C$24+Inputs!$C$25*U39+Inputs!$C$26*V39+Inputs!$C$27*W39+Inputs!$C$28*X39+Inputs!$C$29*Y39+Inputs!$C$30*Z39+Inputs!$C$31*AA39</f>
        <v>-4.56048279994597</v>
      </c>
      <c r="AD39" s="30" t="n">
        <v>5196.099</v>
      </c>
      <c r="AE39" s="30" t="n">
        <v>4396.098</v>
      </c>
      <c r="AF39" s="30" t="n">
        <v>192.561</v>
      </c>
      <c r="AG39" s="30" t="n">
        <v>32.471</v>
      </c>
      <c r="AH39" s="30" t="n">
        <v>285.163</v>
      </c>
      <c r="AI39" s="30" t="n">
        <v>-440.801</v>
      </c>
      <c r="AJ39" s="30" t="n">
        <v>1153.317</v>
      </c>
      <c r="AK39" s="30" t="n">
        <v>834.513</v>
      </c>
      <c r="AL39" s="30" t="n">
        <v>1545.606</v>
      </c>
      <c r="AM39" s="30" t="n">
        <v>2806.315</v>
      </c>
      <c r="AN39" s="30" t="n">
        <v>3205.077</v>
      </c>
      <c r="AO39" s="30" t="n">
        <v>285.972</v>
      </c>
      <c r="AP39" s="30" t="n">
        <v>267.397</v>
      </c>
      <c r="AQ39" s="30" t="s">
        <v>185</v>
      </c>
      <c r="AR39" s="30" t="n">
        <v>1.59</v>
      </c>
      <c r="AS39" s="30" t="n">
        <v>1470.024</v>
      </c>
      <c r="AT39" s="30" t="n">
        <v>1779.33</v>
      </c>
      <c r="AU39" s="30" t="n">
        <v>147.618</v>
      </c>
      <c r="AV39" s="30" t="n">
        <v>449.146</v>
      </c>
      <c r="AW39" s="30" t="n">
        <v>3557.422</v>
      </c>
      <c r="AX39" s="30" t="n">
        <v>3022.884</v>
      </c>
      <c r="AY39" s="30" t="n">
        <v>186.222</v>
      </c>
      <c r="AZ39" s="30" t="n">
        <v>28.185</v>
      </c>
      <c r="BA39" s="30" t="n">
        <v>111.865</v>
      </c>
      <c r="BB39" s="30" t="n">
        <v>122.955</v>
      </c>
      <c r="BC39" s="30" t="n">
        <v>127.059</v>
      </c>
      <c r="BD39" s="30" t="n">
        <v>463.834</v>
      </c>
      <c r="BE39" s="30" t="n">
        <v>1040.964</v>
      </c>
      <c r="BF39" s="30" t="n">
        <v>1867.259</v>
      </c>
      <c r="BG39" s="30" t="n">
        <v>2241.964</v>
      </c>
      <c r="BH39" s="30" t="n">
        <v>274.713</v>
      </c>
      <c r="BI39" s="30" t="n">
        <v>232.266</v>
      </c>
      <c r="BJ39" s="30" t="s">
        <v>185</v>
      </c>
      <c r="BK39" s="30" t="n">
        <v>1.556</v>
      </c>
      <c r="BL39" s="30" t="n">
        <v>968.896</v>
      </c>
      <c r="BM39" s="30" t="n">
        <v>1145.566</v>
      </c>
      <c r="BN39" s="30" t="n">
        <v>34.7</v>
      </c>
      <c r="BO39" s="30" t="n">
        <v>63.49</v>
      </c>
      <c r="BP39" s="30" t="n">
        <v>403.745</v>
      </c>
      <c r="BQ39" s="30" t="n">
        <v>3339.281</v>
      </c>
      <c r="BR39" s="30" t="n">
        <v>1918.646</v>
      </c>
      <c r="BS39" s="30" t="n">
        <v>84.308</v>
      </c>
    </row>
    <row r="40" customFormat="false" ht="15" hidden="false" customHeight="false" outlineLevel="0" collapsed="false">
      <c r="B40" s="24" t="n">
        <v>44834</v>
      </c>
      <c r="C40" s="24" t="n">
        <v>44869</v>
      </c>
      <c r="D40" s="25" t="s">
        <v>184</v>
      </c>
      <c r="E40" s="26" t="n">
        <f aca="false">Inputs!$C$13+Inputs!$C$14*M40+Inputs!$C$15*N40+Inputs!$C$16*O40+Inputs!$C$17*P40+Inputs!$C$18*Q40+Inputs!$C$19*R40+Inputs!$C$20*S40+Inputs!$C$21*T40</f>
        <v>-1.39790458508372</v>
      </c>
      <c r="F40" s="26" t="n">
        <f aca="false">EXP(AB40)/(1+EXP(AB40))/Inputs!$C$32</f>
        <v>2.73044740035418</v>
      </c>
      <c r="G40" s="27" t="n">
        <f aca="false">IFERROR((AH40-AI40)/((AN40+BG40)/2),"n/a")</f>
        <v>0.152509368056011</v>
      </c>
      <c r="H40" s="28" t="n">
        <f aca="false">IFERROR(AI40/AH40,"n/a")</f>
        <v>0.0165645221573281</v>
      </c>
      <c r="I40" s="29" t="n">
        <f aca="false">IFERROR(AK40/AD40*365,"n/a")</f>
        <v>44.6769054404298</v>
      </c>
      <c r="J40" s="29" t="n">
        <f aca="false">IFERROR(N(AL40)/AE40*365,"n/a")</f>
        <v>126.577539770464</v>
      </c>
      <c r="K40" s="9" t="n">
        <f aca="false">IF(E40&gt;Inputs!$C$7,1,0)</f>
        <v>1</v>
      </c>
      <c r="L40" s="9" t="n">
        <f aca="false">IF(F40&gt;Inputs!$C$8,1,0)</f>
        <v>1</v>
      </c>
      <c r="M40" s="17" t="n">
        <f aca="false">IFERROR((AK40/AD40)/(BD40/AW40),1)</f>
        <v>1.02285363240695</v>
      </c>
      <c r="N40" s="17" t="n">
        <f aca="false">IFERROR(((AW40-AX40)/AW40)/((AD40-AE40)/AD40),1)</f>
        <v>0.845003042642498</v>
      </c>
      <c r="O40" s="17" t="n">
        <f aca="false">IFERROR((1-(AM40+AO40)/AN40)/(1-(BF40+BH40)/BG40),1)</f>
        <v>0.909540475030785</v>
      </c>
      <c r="P40" s="17" t="n">
        <f aca="false">IFERROR(AD40/AW40,1)</f>
        <v>1.571487201083</v>
      </c>
      <c r="Q40" s="17" t="n">
        <f aca="false">IFERROR((AZ40/(AZ40+BH40))/(AG40/(AG40+AO40)),1)</f>
        <v>0.875026567355361</v>
      </c>
      <c r="R40" s="17" t="n">
        <f aca="false">IFERROR((AF40/AD40)/(AY40/AW40),1)</f>
        <v>0.692770664367092</v>
      </c>
      <c r="S40" s="17" t="n">
        <f aca="false">IFERROR((AH40-AI40)/AN40,0)</f>
        <v>0.132307651297995</v>
      </c>
      <c r="T40" s="17" t="n">
        <f aca="false">IFERROR(((AS40+N(AU40))/AN40)/((BL40+N(BN40))/BG40),1)</f>
        <v>0.962848532384909</v>
      </c>
      <c r="U40" s="17" t="n">
        <f aca="false">IFERROR((((AM40-AP40-N(AQ40))-(AS40-N(AV40))+(AN40-AM40-N(AR40))-(AT40-AS40-N(AU40))+(N(AQ40)+N(AR40))-(N(AU40)+N(AV40)))-((BF40-BI40-N(BJ40))-(BL40-N(BO40))+(BG40-BF40-N(BK40))-(BM40-BL40-N(BN40))+(N(BJ40)+N(BK40))-(N(BN40)+N(BO40))))/((AN40+BG40)/2),0)</f>
        <v>0.183025906533128</v>
      </c>
      <c r="V40" s="17" t="n">
        <f aca="false">IFERROR((AK40-BD40)/((AN40+BG40)/2),0)</f>
        <v>0.0971498483932195</v>
      </c>
      <c r="W40" s="17" t="n">
        <f aca="false">IFERROR((N(AL40)-N(BE40))/((AN40+BG40)/2),0)</f>
        <v>0.192557371050437</v>
      </c>
      <c r="X40" s="17" t="n">
        <f aca="false">IFERROR((AN40-N(AO40)-AP40)/AN40,0)</f>
        <v>0.839753211100048</v>
      </c>
      <c r="Y40" s="17" t="n">
        <f aca="false">IF(COUNT(BP40,BQ40,BR40,BS40)=4,IFERROR((AD40-(AK40-BD40))/(AW40-(BD40-BP40))-1,0),0)</f>
        <v>0.553689185957807</v>
      </c>
      <c r="Z40" s="17" t="n">
        <f aca="false">IF(COUNT(BP40,BQ40,BR40,BS40)=4,IFERROR(AH40/((AN40+BG40)/2)-BA40/((BG40+BR40)/2),0),0)</f>
        <v>0.102902377700303</v>
      </c>
      <c r="AA40" s="9" t="n">
        <f aca="false">IF(N(AJ40)&gt;0,1,0)</f>
        <v>1</v>
      </c>
      <c r="AB40" s="17" t="n">
        <f aca="false">Inputs!$C$24+Inputs!$C$25*U40+Inputs!$C$26*V40+Inputs!$C$27*W40+Inputs!$C$28*X40+Inputs!$C$29*Y40+Inputs!$C$30*Z40+Inputs!$C$31*AA40</f>
        <v>-4.58480294711453</v>
      </c>
      <c r="AD40" s="30" t="n">
        <v>6015.499</v>
      </c>
      <c r="AE40" s="30" t="n">
        <v>5006.102</v>
      </c>
      <c r="AF40" s="30" t="n">
        <v>201.862</v>
      </c>
      <c r="AG40" s="30" t="n">
        <v>33.47</v>
      </c>
      <c r="AH40" s="30" t="n">
        <v>444.142</v>
      </c>
      <c r="AI40" s="30" t="n">
        <v>7.357</v>
      </c>
      <c r="AJ40" s="30" t="n">
        <v>962.652</v>
      </c>
      <c r="AK40" s="30" t="n">
        <v>736.312</v>
      </c>
      <c r="AL40" s="30" t="n">
        <v>1736.055</v>
      </c>
      <c r="AM40" s="30" t="n">
        <v>2879.88</v>
      </c>
      <c r="AN40" s="30" t="n">
        <v>3301.283</v>
      </c>
      <c r="AO40" s="30" t="n">
        <v>290.752</v>
      </c>
      <c r="AP40" s="30" t="n">
        <v>238.268</v>
      </c>
      <c r="AQ40" s="30" t="s">
        <v>185</v>
      </c>
      <c r="AR40" s="30" t="n">
        <v>1.59</v>
      </c>
      <c r="AS40" s="30" t="n">
        <v>1353.355</v>
      </c>
      <c r="AT40" s="30" t="n">
        <v>1676.08</v>
      </c>
      <c r="AU40" s="30" t="n">
        <v>148.551</v>
      </c>
      <c r="AV40" s="30" t="n">
        <v>101.173</v>
      </c>
      <c r="AW40" s="30" t="n">
        <v>3827.902</v>
      </c>
      <c r="AX40" s="30" t="n">
        <v>3285.14</v>
      </c>
      <c r="AY40" s="30" t="n">
        <v>185.419</v>
      </c>
      <c r="AZ40" s="30" t="n">
        <v>28.216</v>
      </c>
      <c r="BA40" s="30" t="n">
        <v>110.701</v>
      </c>
      <c r="BB40" s="30" t="n">
        <v>-132.171</v>
      </c>
      <c r="BC40" s="30" t="n">
        <v>390.457</v>
      </c>
      <c r="BD40" s="30" t="n">
        <v>458.076</v>
      </c>
      <c r="BE40" s="30" t="n">
        <v>1184.573</v>
      </c>
      <c r="BF40" s="30" t="n">
        <v>2036.955</v>
      </c>
      <c r="BG40" s="30" t="n">
        <v>2426.693</v>
      </c>
      <c r="BH40" s="30" t="n">
        <v>284.148</v>
      </c>
      <c r="BI40" s="30" t="n">
        <v>270.047</v>
      </c>
      <c r="BJ40" s="30" t="s">
        <v>185</v>
      </c>
      <c r="BK40" s="30" t="n">
        <v>1.556</v>
      </c>
      <c r="BL40" s="30" t="n">
        <v>1101.479</v>
      </c>
      <c r="BM40" s="30" t="n">
        <v>1293.895</v>
      </c>
      <c r="BN40" s="30" t="n">
        <v>45.134</v>
      </c>
      <c r="BO40" s="30" t="n">
        <v>233.674</v>
      </c>
      <c r="BP40" s="30" t="n">
        <v>322.845</v>
      </c>
      <c r="BQ40" s="30" t="n">
        <v>3301.727</v>
      </c>
      <c r="BR40" s="30" t="n">
        <v>1816.693</v>
      </c>
      <c r="BS40" s="30" t="n">
        <v>84.564</v>
      </c>
    </row>
    <row r="41" customFormat="false" ht="15" hidden="false" customHeight="false" outlineLevel="0" collapsed="false">
      <c r="B41" s="24" t="n">
        <v>44926</v>
      </c>
      <c r="C41" s="24" t="n">
        <v>44960</v>
      </c>
      <c r="D41" s="25" t="s">
        <v>184</v>
      </c>
      <c r="E41" s="26" t="n">
        <f aca="false">Inputs!$C$13+Inputs!$C$14*M41+Inputs!$C$15*N41+Inputs!$C$16*O41+Inputs!$C$17*P41+Inputs!$C$18*Q41+Inputs!$C$19*R41+Inputs!$C$20*S41+Inputs!$C$21*T41</f>
        <v>-1.35393557877222</v>
      </c>
      <c r="F41" s="26" t="n">
        <f aca="false">EXP(AB41)/(1+EXP(AB41))/Inputs!$C$32</f>
        <v>2.00723451758543</v>
      </c>
      <c r="G41" s="27" t="n">
        <f aca="false">IFERROR((AH41-AI41)/((AN41+BG41)/2),"n/a")</f>
        <v>0.124064772867946</v>
      </c>
      <c r="H41" s="28" t="n">
        <f aca="false">IFERROR(AI41/AH41,"n/a")</f>
        <v>0.383132455128748</v>
      </c>
      <c r="I41" s="29" t="n">
        <f aca="false">IFERROR(AK41/AD41*365,"n/a")</f>
        <v>42.1861802287748</v>
      </c>
      <c r="J41" s="29" t="n">
        <f aca="false">IFERROR(N(AL41)/AE41*365,"n/a")</f>
        <v>94.9925501523924</v>
      </c>
      <c r="K41" s="9" t="n">
        <f aca="false">IF(E41&gt;Inputs!$C$7,1,0)</f>
        <v>1</v>
      </c>
      <c r="L41" s="9" t="n">
        <f aca="false">IF(F41&gt;Inputs!$C$8,1,0)</f>
        <v>1</v>
      </c>
      <c r="M41" s="17" t="n">
        <f aca="false">IFERROR((AK41/AD41)/(BD41/AW41),1)</f>
        <v>0.968907035288101</v>
      </c>
      <c r="N41" s="17" t="n">
        <f aca="false">IFERROR(((AW41-AX41)/AW41)/((AD41-AE41)/AD41),1)</f>
        <v>0.768449223474562</v>
      </c>
      <c r="O41" s="17" t="n">
        <f aca="false">IFERROR((1-(AM41+AO41)/AN41)/(1-(BF41+BH41)/BG41),1)</f>
        <v>1.15053762510967</v>
      </c>
      <c r="P41" s="17" t="n">
        <f aca="false">IFERROR(AD41/AW41,1)</f>
        <v>1.59382520206762</v>
      </c>
      <c r="Q41" s="17" t="n">
        <f aca="false">IFERROR((AZ41/(AZ41+BH41))/(AG41/(AG41+AO41)),1)</f>
        <v>0.904021562620167</v>
      </c>
      <c r="R41" s="17" t="n">
        <f aca="false">IFERROR((AF41/AD41)/(AY41/AW41),1)</f>
        <v>0.693101256975542</v>
      </c>
      <c r="S41" s="17" t="n">
        <f aca="false">IFERROR((AH41-AI41)/AN41,0)</f>
        <v>0.116028855178407</v>
      </c>
      <c r="T41" s="17" t="n">
        <f aca="false">IFERROR(((AS41+N(AU41))/AN41)/((BL41+N(BN41))/BG41),1)</f>
        <v>0.688772473705654</v>
      </c>
      <c r="U41" s="17" t="n">
        <f aca="false">IFERROR((((AM41-AP41-N(AQ41))-(AS41-N(AV41))+(AN41-AM41-N(AR41))-(AT41-AS41-N(AU41))+(N(AQ41)+N(AR41))-(N(AU41)+N(AV41)))-((BF41-BI41-N(BJ41))-(BL41-N(BO41))+(BG41-BF41-N(BK41))-(BM41-BL41-N(BN41))+(N(BJ41)+N(BK41))-(N(BN41)+N(BO41))))/((AN41+BG41)/2),0)</f>
        <v>0.199879893120873</v>
      </c>
      <c r="V41" s="17" t="n">
        <f aca="false">IFERROR((AK41-BD41)/((AN41+BG41)/2),0)</f>
        <v>0.0941437638310687</v>
      </c>
      <c r="W41" s="17" t="n">
        <f aca="false">IFERROR((N(AL41)-N(BE41))/((AN41+BG41)/2),0)</f>
        <v>0.00978693721199037</v>
      </c>
      <c r="X41" s="17" t="n">
        <f aca="false">IFERROR((AN41-N(AO41)-AP41)/AN41,0)</f>
        <v>0.806874406086359</v>
      </c>
      <c r="Y41" s="17" t="n">
        <f aca="false">IF(COUNT(BP41,BQ41,BR41,BS41)=4,IFERROR((AD41-(AK41-BD41))/(AW41-(BD41-BP41))-1,0),0)</f>
        <v>0.595637957205479</v>
      </c>
      <c r="Z41" s="17" t="n">
        <f aca="false">IF(COUNT(BP41,BQ41,BR41,BS41)=4,IFERROR(AH41/((AN41+BG41)/2)-BA41/((BG41+BR41)/2),0),0)</f>
        <v>0.146442015557028</v>
      </c>
      <c r="AA41" s="9" t="n">
        <f aca="false">IF(N(AJ41)&gt;0,1,0)</f>
        <v>1</v>
      </c>
      <c r="AB41" s="17" t="n">
        <f aca="false">Inputs!$C$24+Inputs!$C$25*U41+Inputs!$C$26*V41+Inputs!$C$27*W41+Inputs!$C$28*X41+Inputs!$C$29*Y41+Inputs!$C$30*Z41+Inputs!$C$31*AA41</f>
        <v>-4.89521006306051</v>
      </c>
      <c r="AD41" s="30" t="n">
        <v>6646.275</v>
      </c>
      <c r="AE41" s="30" t="n">
        <v>5463.199</v>
      </c>
      <c r="AF41" s="30" t="n">
        <v>206.179</v>
      </c>
      <c r="AG41" s="30" t="n">
        <v>33.986</v>
      </c>
      <c r="AH41" s="30" t="n">
        <v>578.377</v>
      </c>
      <c r="AI41" s="30" t="n">
        <v>221.595</v>
      </c>
      <c r="AJ41" s="30" t="n">
        <v>709.635</v>
      </c>
      <c r="AK41" s="30" t="n">
        <v>768.167</v>
      </c>
      <c r="AL41" s="30" t="n">
        <v>1421.817</v>
      </c>
      <c r="AM41" s="30" t="n">
        <v>2649.503</v>
      </c>
      <c r="AN41" s="30" t="n">
        <v>3074.942</v>
      </c>
      <c r="AO41" s="30" t="n">
        <v>289.255</v>
      </c>
      <c r="AP41" s="30" t="n">
        <v>304.595</v>
      </c>
      <c r="AQ41" s="30" t="s">
        <v>185</v>
      </c>
      <c r="AR41" s="30" t="n">
        <v>1.59</v>
      </c>
      <c r="AS41" s="30" t="n">
        <v>916.94</v>
      </c>
      <c r="AT41" s="30" t="n">
        <v>1256.1</v>
      </c>
      <c r="AU41" s="30" t="n">
        <v>142.273</v>
      </c>
      <c r="AV41" s="30" t="s">
        <v>185</v>
      </c>
      <c r="AW41" s="30" t="n">
        <v>4170.015</v>
      </c>
      <c r="AX41" s="30" t="n">
        <v>3599.605</v>
      </c>
      <c r="AY41" s="30" t="n">
        <v>186.641</v>
      </c>
      <c r="AZ41" s="30" t="n">
        <v>29.439</v>
      </c>
      <c r="BA41" s="30" t="n">
        <v>124.959</v>
      </c>
      <c r="BB41" s="30" t="n">
        <v>-248.569</v>
      </c>
      <c r="BC41" s="30" t="n">
        <v>700.109</v>
      </c>
      <c r="BD41" s="30" t="n">
        <v>497.431</v>
      </c>
      <c r="BE41" s="30" t="n">
        <v>1393.672</v>
      </c>
      <c r="BF41" s="30" t="n">
        <v>2293.288</v>
      </c>
      <c r="BG41" s="30" t="n">
        <v>2676.602</v>
      </c>
      <c r="BH41" s="30" t="n">
        <v>280.282</v>
      </c>
      <c r="BI41" s="30" t="n">
        <v>247.407</v>
      </c>
      <c r="BJ41" s="30" t="s">
        <v>185</v>
      </c>
      <c r="BK41" s="30" t="n">
        <v>1.556</v>
      </c>
      <c r="BL41" s="30" t="n">
        <v>1199.579</v>
      </c>
      <c r="BM41" s="30" t="n">
        <v>1489.757</v>
      </c>
      <c r="BN41" s="30" t="n">
        <v>139.032</v>
      </c>
      <c r="BO41" s="30" t="n">
        <v>176.904</v>
      </c>
      <c r="BP41" s="30" t="n">
        <v>323.021</v>
      </c>
      <c r="BQ41" s="30" t="n">
        <v>3261.09</v>
      </c>
      <c r="BR41" s="30" t="n">
        <v>1894.072</v>
      </c>
      <c r="BS41" s="30" t="n">
        <v>88.532</v>
      </c>
    </row>
    <row r="42" customFormat="false" ht="15" hidden="false" customHeight="false" outlineLevel="0" collapsed="false">
      <c r="B42" s="24" t="n">
        <v>45016</v>
      </c>
      <c r="C42" s="24" t="n">
        <v>45051</v>
      </c>
      <c r="D42" s="25" t="s">
        <v>184</v>
      </c>
      <c r="E42" s="26" t="n">
        <f aca="false">Inputs!$C$13+Inputs!$C$14*M42+Inputs!$C$15*N42+Inputs!$C$16*O42+Inputs!$C$17*P42+Inputs!$C$18*Q42+Inputs!$C$19*R42+Inputs!$C$20*S42+Inputs!$C$21*T42</f>
        <v>-2.20853194881826</v>
      </c>
      <c r="F42" s="26" t="n">
        <f aca="false">EXP(AB42)/(1+EXP(AB42))/Inputs!$C$32</f>
        <v>1.42706845972016</v>
      </c>
      <c r="G42" s="27" t="n">
        <f aca="false">IFERROR((AH42-AI42)/((AN42+BG42)/2),"n/a")</f>
        <v>-0.019325388291832</v>
      </c>
      <c r="H42" s="28" t="n">
        <f aca="false">IFERROR(AI42/AH42,"n/a")</f>
        <v>1.10306495859522</v>
      </c>
      <c r="I42" s="29" t="n">
        <f aca="false">IFERROR(AK42/AD42*365,"n/a")</f>
        <v>37.3132115348138</v>
      </c>
      <c r="J42" s="29" t="n">
        <f aca="false">IFERROR(N(AL42)/AE42*365,"n/a")</f>
        <v>104.597004588106</v>
      </c>
      <c r="K42" s="9" t="n">
        <f aca="false">IF(E42&gt;Inputs!$C$7,1,0)</f>
        <v>0</v>
      </c>
      <c r="L42" s="9" t="n">
        <f aca="false">IF(F42&gt;Inputs!$C$8,1,0)</f>
        <v>0</v>
      </c>
      <c r="M42" s="17" t="n">
        <f aca="false">IFERROR((AK42/AD42)/(BD42/AW42),1)</f>
        <v>0.696215854866484</v>
      </c>
      <c r="N42" s="17" t="n">
        <f aca="false">IFERROR(((AW42-AX42)/AW42)/((AD42-AE42)/AD42),1)</f>
        <v>0.779704571015764</v>
      </c>
      <c r="O42" s="17" t="n">
        <f aca="false">IFERROR((1-(AM42+AO42)/AN42)/(1-(BF42+BH42)/BG42),1)</f>
        <v>1.63663419450291</v>
      </c>
      <c r="P42" s="17" t="n">
        <f aca="false">IFERROR(AD42/AW42,1)</f>
        <v>1.42000322272392</v>
      </c>
      <c r="Q42" s="17" t="n">
        <f aca="false">IFERROR((AZ42/(AZ42+BH42))/(AG42/(AG42+AO42)),1)</f>
        <v>0.932358749573532</v>
      </c>
      <c r="R42" s="17" t="n">
        <f aca="false">IFERROR((AF42/AD42)/(AY42/AW42),1)</f>
        <v>0.768003917069964</v>
      </c>
      <c r="S42" s="17" t="n">
        <f aca="false">IFERROR((AH42-AI42)/AN42,0)</f>
        <v>-0.0189578788976021</v>
      </c>
      <c r="T42" s="17" t="n">
        <f aca="false">IFERROR(((AS42+N(AU42))/AN42)/((BL42+N(BN42))/BG42),1)</f>
        <v>0.718649251203994</v>
      </c>
      <c r="U42" s="17" t="n">
        <f aca="false">IFERROR((((AM42-AP42-N(AQ42))-(AS42-N(AV42))+(AN42-AM42-N(AR42))-(AT42-AS42-N(AU42))+(N(AQ42)+N(AR42))-(N(AU42)+N(AV42)))-((BF42-BI42-N(BJ42))-(BL42-N(BO42))+(BG42-BF42-N(BK42))-(BM42-BL42-N(BN42))+(N(BJ42)+N(BK42))-(N(BN42)+N(BO42))))/((AN42+BG42)/2),0)</f>
        <v>0.121101615781267</v>
      </c>
      <c r="V42" s="17" t="n">
        <f aca="false">IFERROR((AK42-BD42)/((AN42+BG42)/2),0)</f>
        <v>-0.00246815781075361</v>
      </c>
      <c r="W42" s="17" t="n">
        <f aca="false">IFERROR((N(AL42)-N(BE42))/((AN42+BG42)/2),0)</f>
        <v>-0.0153654797318105</v>
      </c>
      <c r="X42" s="17" t="n">
        <f aca="false">IFERROR((AN42-N(AO42)-AP42)/AN42,0)</f>
        <v>0.795515196999064</v>
      </c>
      <c r="Y42" s="17" t="n">
        <f aca="false">IF(COUNT(BP42,BQ42,BR42,BS42)=4,IFERROR((AD42-(AK42-BD42))/(AW42-(BD42-BP42))-1,0),0)</f>
        <v>0.510558376426718</v>
      </c>
      <c r="Z42" s="17" t="n">
        <f aca="false">IF(COUNT(BP42,BQ42,BR42,BS42)=4,IFERROR(AH42/((AN42+BG42)/2)-BA42/((BG42+BR42)/2),0),0)</f>
        <v>0.115119346357618</v>
      </c>
      <c r="AA42" s="9" t="n">
        <f aca="false">IF(N(AJ42)&gt;0,1,0)</f>
        <v>1</v>
      </c>
      <c r="AB42" s="17" t="n">
        <f aca="false">Inputs!$C$24+Inputs!$C$25*U42+Inputs!$C$26*V42+Inputs!$C$27*W42+Inputs!$C$28*X42+Inputs!$C$29*Y42+Inputs!$C$30*Z42+Inputs!$C$31*AA42</f>
        <v>-5.23850600483605</v>
      </c>
      <c r="AD42" s="30" t="n">
        <v>6574.081</v>
      </c>
      <c r="AE42" s="30" t="n">
        <v>5375.421</v>
      </c>
      <c r="AF42" s="30" t="n">
        <v>205.812</v>
      </c>
      <c r="AG42" s="30" t="n">
        <v>34.354</v>
      </c>
      <c r="AH42" s="30" t="n">
        <v>587.251</v>
      </c>
      <c r="AI42" s="30" t="n">
        <v>647.776</v>
      </c>
      <c r="AJ42" s="30" t="n">
        <v>379.568</v>
      </c>
      <c r="AK42" s="30" t="n">
        <v>672.055</v>
      </c>
      <c r="AL42" s="30" t="n">
        <v>1540.419</v>
      </c>
      <c r="AM42" s="30" t="n">
        <v>2715.175</v>
      </c>
      <c r="AN42" s="30" t="n">
        <v>3192.604</v>
      </c>
      <c r="AO42" s="30" t="n">
        <v>290.038</v>
      </c>
      <c r="AP42" s="30" t="n">
        <v>362.801</v>
      </c>
      <c r="AQ42" s="30" t="s">
        <v>185</v>
      </c>
      <c r="AR42" s="30" t="n">
        <v>1.59</v>
      </c>
      <c r="AS42" s="30" t="n">
        <v>1092.38</v>
      </c>
      <c r="AT42" s="30" t="n">
        <v>1424.031</v>
      </c>
      <c r="AU42" s="30" t="n">
        <v>133.235</v>
      </c>
      <c r="AV42" s="30" t="s">
        <v>185</v>
      </c>
      <c r="AW42" s="30" t="n">
        <v>4629.624</v>
      </c>
      <c r="AX42" s="30" t="n">
        <v>3971.456</v>
      </c>
      <c r="AY42" s="30" t="n">
        <v>188.72</v>
      </c>
      <c r="AZ42" s="30" t="n">
        <v>30.93</v>
      </c>
      <c r="BA42" s="30" t="n">
        <v>183.503</v>
      </c>
      <c r="BB42" s="30" t="n">
        <v>-352.095</v>
      </c>
      <c r="BC42" s="30" t="n">
        <v>1002.909</v>
      </c>
      <c r="BD42" s="30" t="n">
        <v>679.785</v>
      </c>
      <c r="BE42" s="30" t="n">
        <v>1588.542</v>
      </c>
      <c r="BF42" s="30" t="n">
        <v>2678.715</v>
      </c>
      <c r="BG42" s="30" t="n">
        <v>3071.177</v>
      </c>
      <c r="BH42" s="30" t="n">
        <v>282.319</v>
      </c>
      <c r="BI42" s="30" t="n">
        <v>247.424</v>
      </c>
      <c r="BJ42" s="30" t="s">
        <v>185</v>
      </c>
      <c r="BK42" s="30" t="n">
        <v>1.556</v>
      </c>
      <c r="BL42" s="30" t="n">
        <v>1496.155</v>
      </c>
      <c r="BM42" s="30" t="n">
        <v>1797.258</v>
      </c>
      <c r="BN42" s="30" t="n">
        <v>144.423</v>
      </c>
      <c r="BO42" s="30" t="n">
        <v>403.045</v>
      </c>
      <c r="BP42" s="30" t="n">
        <v>407.365</v>
      </c>
      <c r="BQ42" s="30" t="n">
        <v>3384.563</v>
      </c>
      <c r="BR42" s="30" t="n">
        <v>1998.84</v>
      </c>
      <c r="BS42" s="30" t="n">
        <v>91.153</v>
      </c>
    </row>
    <row r="43" customFormat="false" ht="15" hidden="false" customHeight="false" outlineLevel="0" collapsed="false">
      <c r="B43" s="24" t="n">
        <v>45107</v>
      </c>
      <c r="C43" s="24" t="n">
        <v>45166</v>
      </c>
      <c r="D43" s="25" t="s">
        <v>184</v>
      </c>
      <c r="E43" s="26" t="n">
        <f aca="false">Inputs!$C$13+Inputs!$C$14*M43+Inputs!$C$15*N43+Inputs!$C$16*O43+Inputs!$C$17*P43+Inputs!$C$18*Q43+Inputs!$C$19*R43+Inputs!$C$20*S43+Inputs!$C$21*T43</f>
        <v>-1.92594685870876</v>
      </c>
      <c r="F43" s="26" t="n">
        <f aca="false">EXP(AB43)/(1+EXP(AB43))/Inputs!$C$32</f>
        <v>1.80306468948664</v>
      </c>
      <c r="G43" s="27" t="n">
        <f aca="false">IFERROR((AH43-AI43)/((AN43+BG43)/2),"n/a")</f>
        <v>-0.00685542586520608</v>
      </c>
      <c r="H43" s="28" t="n">
        <f aca="false">IFERROR(AI43/AH43,"n/a")</f>
        <v>1.03684699014684</v>
      </c>
      <c r="I43" s="29" t="n">
        <f aca="false">IFERROR(AK43/AD43*365,"n/a")</f>
        <v>58.8356277168946</v>
      </c>
      <c r="J43" s="29" t="n">
        <f aca="false">IFERROR(N(AL43)/AE43*365,"n/a")</f>
        <v>90.3404794477157</v>
      </c>
      <c r="K43" s="9" t="n">
        <f aca="false">IF(E43&gt;Inputs!$C$7,1,0)</f>
        <v>0</v>
      </c>
      <c r="L43" s="9" t="n">
        <f aca="false">IF(F43&gt;Inputs!$C$8,1,0)</f>
        <v>0</v>
      </c>
      <c r="M43" s="17" t="n">
        <f aca="false">IFERROR((AK43/AD43)/(BD43/AW43),1)</f>
        <v>1.00367206651567</v>
      </c>
      <c r="N43" s="17" t="n">
        <f aca="false">IFERROR(((AW43-AX43)/AW43)/((AD43-AE43)/AD43),1)</f>
        <v>0.854820100544825</v>
      </c>
      <c r="O43" s="17" t="n">
        <f aca="false">IFERROR((1-(AM43+AO43)/AN43)/(1-(BF43+BH43)/BG43),1)</f>
        <v>1.5857322577951</v>
      </c>
      <c r="P43" s="17" t="n">
        <f aca="false">IFERROR(AD43/AW43,1)</f>
        <v>1.37092884488921</v>
      </c>
      <c r="Q43" s="17" t="n">
        <f aca="false">IFERROR((AZ43/(AZ43+BH43))/(AG43/(AG43+AO43)),1)</f>
        <v>0.949870721289125</v>
      </c>
      <c r="R43" s="17" t="n">
        <f aca="false">IFERROR((AF43/AD43)/(AY43/AW43),1)</f>
        <v>0.812955376581718</v>
      </c>
      <c r="S43" s="17" t="n">
        <f aca="false">IFERROR((AH43-AI43)/AN43,0)</f>
        <v>-0.00641734397284806</v>
      </c>
      <c r="T43" s="17" t="n">
        <f aca="false">IFERROR(((AS43+N(AU43))/AN43)/((BL43+N(BN43))/BG43),1)</f>
        <v>0.805977341004501</v>
      </c>
      <c r="U43" s="17" t="n">
        <f aca="false">IFERROR((((AM43-AP43-N(AQ43))-(AS43-N(AV43))+(AN43-AM43-N(AR43))-(AT43-AS43-N(AU43))+(N(AQ43)+N(AR43))-(N(AU43)+N(AV43)))-((BF43-BI43-N(BJ43))-(BL43-N(BO43))+(BG43-BF43-N(BK43))-(BM43-BL43-N(BN43))+(N(BJ43)+N(BK43))-(N(BN43)+N(BO43))))/((AN43+BG43)/2),0)</f>
        <v>0.108538234944416</v>
      </c>
      <c r="V43" s="17" t="n">
        <f aca="false">IFERROR((AK43-BD43)/((AN43+BG43)/2),0)</f>
        <v>0.0912078044061126</v>
      </c>
      <c r="W43" s="17" t="n">
        <f aca="false">IFERROR((N(AL43)-N(BE43))/((AN43+BG43)/2),0)</f>
        <v>-0.0290827968114217</v>
      </c>
      <c r="X43" s="17" t="n">
        <f aca="false">IFERROR((AN43-N(AO43)-AP43)/AN43,0)</f>
        <v>0.801155677058091</v>
      </c>
      <c r="Y43" s="17" t="n">
        <f aca="false">IF(COUNT(BP43,BQ43,BR43,BS43)=4,IFERROR((AD43-(AK43-BD43))/(AW43-(BD43-BP43))-1,0),0)</f>
        <v>0.411221406634034</v>
      </c>
      <c r="Z43" s="17" t="n">
        <f aca="false">IF(COUNT(BP43,BQ43,BR43,BS43)=4,IFERROR(AH43/((AN43+BG43)/2)-BA43/((BG43+BR43)/2),0),0)</f>
        <v>0.0813473565158705</v>
      </c>
      <c r="AA43" s="9" t="n">
        <f aca="false">IF(N(AJ43)&gt;0,1,0)</f>
        <v>1</v>
      </c>
      <c r="AB43" s="17" t="n">
        <f aca="false">Inputs!$C$24+Inputs!$C$25*U43+Inputs!$C$26*V43+Inputs!$C$27*W43+Inputs!$C$28*X43+Inputs!$C$29*Y43+Inputs!$C$30*Z43+Inputs!$C$31*AA43</f>
        <v>-5.00324094474213</v>
      </c>
      <c r="AD43" s="30" t="n">
        <v>7123.482</v>
      </c>
      <c r="AE43" s="30" t="n">
        <v>5840.47</v>
      </c>
      <c r="AF43" s="30" t="n">
        <v>214.61</v>
      </c>
      <c r="AG43" s="30" t="n">
        <v>34.904</v>
      </c>
      <c r="AH43" s="30" t="n">
        <v>639.998</v>
      </c>
      <c r="AI43" s="30" t="n">
        <v>663.58</v>
      </c>
      <c r="AJ43" s="30" t="n">
        <v>1093.86</v>
      </c>
      <c r="AK43" s="30" t="n">
        <v>1148.259</v>
      </c>
      <c r="AL43" s="30" t="n">
        <v>1445.564</v>
      </c>
      <c r="AM43" s="30" t="n">
        <v>3179.426</v>
      </c>
      <c r="AN43" s="30" t="n">
        <v>3674.729</v>
      </c>
      <c r="AO43" s="30" t="n">
        <v>290.24</v>
      </c>
      <c r="AP43" s="30" t="n">
        <v>440.459</v>
      </c>
      <c r="AQ43" s="30" t="s">
        <v>185</v>
      </c>
      <c r="AR43" s="30" t="s">
        <v>185</v>
      </c>
      <c r="AS43" s="30" t="n">
        <v>1374.652</v>
      </c>
      <c r="AT43" s="30" t="n">
        <v>1702.559</v>
      </c>
      <c r="AU43" s="30" t="n">
        <v>120.179</v>
      </c>
      <c r="AV43" s="30" t="n">
        <v>170.123</v>
      </c>
      <c r="AW43" s="30" t="n">
        <v>5196.099</v>
      </c>
      <c r="AX43" s="30" t="n">
        <v>4396.098</v>
      </c>
      <c r="AY43" s="30" t="n">
        <v>192.561</v>
      </c>
      <c r="AZ43" s="30" t="n">
        <v>32.471</v>
      </c>
      <c r="BA43" s="30" t="n">
        <v>285.163</v>
      </c>
      <c r="BB43" s="30" t="n">
        <v>-440.801</v>
      </c>
      <c r="BC43" s="30" t="n">
        <v>1153.317</v>
      </c>
      <c r="BD43" s="30" t="n">
        <v>834.513</v>
      </c>
      <c r="BE43" s="30" t="n">
        <v>1545.606</v>
      </c>
      <c r="BF43" s="30" t="n">
        <v>2806.315</v>
      </c>
      <c r="BG43" s="30" t="n">
        <v>3205.077</v>
      </c>
      <c r="BH43" s="30" t="n">
        <v>285.972</v>
      </c>
      <c r="BI43" s="30" t="n">
        <v>267.397</v>
      </c>
      <c r="BJ43" s="30" t="s">
        <v>185</v>
      </c>
      <c r="BK43" s="30" t="n">
        <v>1.59</v>
      </c>
      <c r="BL43" s="30" t="n">
        <v>1470.024</v>
      </c>
      <c r="BM43" s="30" t="n">
        <v>1779.33</v>
      </c>
      <c r="BN43" s="30" t="n">
        <v>147.618</v>
      </c>
      <c r="BO43" s="30" t="n">
        <v>449.146</v>
      </c>
      <c r="BP43" s="30" t="n">
        <v>463.834</v>
      </c>
      <c r="BQ43" s="30" t="n">
        <v>3557.422</v>
      </c>
      <c r="BR43" s="30" t="n">
        <v>2241.964</v>
      </c>
      <c r="BS43" s="30" t="n">
        <v>111.865</v>
      </c>
    </row>
    <row r="44" customFormat="false" ht="15" hidden="false" customHeight="false" outlineLevel="0" collapsed="false">
      <c r="B44" s="24" t="n">
        <v>45199</v>
      </c>
      <c r="C44" s="24" t="n">
        <v>45233</v>
      </c>
      <c r="D44" s="25" t="s">
        <v>184</v>
      </c>
      <c r="E44" s="26" t="n">
        <f aca="false">Inputs!$C$13+Inputs!$C$14*M44+Inputs!$C$15*N44+Inputs!$C$16*O44+Inputs!$C$17*P44+Inputs!$C$18*Q44+Inputs!$C$19*R44+Inputs!$C$20*S44+Inputs!$C$21*T44</f>
        <v>-2.15453075526956</v>
      </c>
      <c r="F44" s="26" t="n">
        <f aca="false">EXP(AB44)/(1+EXP(AB44))/Inputs!$C$32</f>
        <v>1.7638541779251</v>
      </c>
      <c r="G44" s="27" t="n">
        <f aca="false">IFERROR((AH44-AI44)/((AN44+BG44)/2),"n/a")</f>
        <v>-0.00213079271247803</v>
      </c>
      <c r="H44" s="28" t="n">
        <f aca="false">IFERROR(AI44/AH44,"n/a")</f>
        <v>1.01286532142082</v>
      </c>
      <c r="I44" s="29" t="n">
        <f aca="false">IFERROR(AK44/AD44*365,"n/a")</f>
        <v>41.7656721179636</v>
      </c>
      <c r="J44" s="29" t="n">
        <f aca="false">IFERROR(N(AL44)/AE44*365,"n/a")</f>
        <v>122.794412880278</v>
      </c>
      <c r="K44" s="9" t="n">
        <f aca="false">IF(E44&gt;Inputs!$C$7,1,0)</f>
        <v>0</v>
      </c>
      <c r="L44" s="9" t="n">
        <f aca="false">IF(F44&gt;Inputs!$C$8,1,0)</f>
        <v>0</v>
      </c>
      <c r="M44" s="17" t="n">
        <f aca="false">IFERROR((AK44/AD44)/(BD44/AW44),1)</f>
        <v>0.934838071398032</v>
      </c>
      <c r="N44" s="17" t="n">
        <f aca="false">IFERROR(((AW44-AX44)/AW44)/((AD44-AE44)/AD44),1)</f>
        <v>0.962022980388995</v>
      </c>
      <c r="O44" s="17" t="n">
        <f aca="false">IFERROR((1-(AM44+AO44)/AN44)/(1-(BF44+BH44)/BG44),1)</f>
        <v>1.44021797806201</v>
      </c>
      <c r="P44" s="17" t="n">
        <f aca="false">IFERROR(AD44/AW44,1)</f>
        <v>1.22866349075945</v>
      </c>
      <c r="Q44" s="17" t="n">
        <f aca="false">IFERROR((AZ44/(AZ44+BH44))/(AG44/(AG44+AO44)),1)</f>
        <v>0.951099986135699</v>
      </c>
      <c r="R44" s="17" t="n">
        <f aca="false">IFERROR((AF44/AD44)/(AY44/AW44),1)</f>
        <v>0.933773734079085</v>
      </c>
      <c r="S44" s="17" t="n">
        <f aca="false">IFERROR((AH44-AI44)/AN44,0)</f>
        <v>-0.00192408917656502</v>
      </c>
      <c r="T44" s="17" t="n">
        <f aca="false">IFERROR(((AS44+N(AU44))/AN44)/((BL44+N(BN44))/BG44),1)</f>
        <v>0.917768851322555</v>
      </c>
      <c r="U44" s="17" t="n">
        <f aca="false">IFERROR((((AM44-AP44-N(AQ44))-(AS44-N(AV44))+(AN44-AM44-N(AR44))-(AT44-AS44-N(AU44))+(N(AQ44)+N(AR44))-(N(AU44)+N(AV44)))-((BF44-BI44-N(BJ44))-(BL44-N(BO44))+(BG44-BF44-N(BK44))-(BM44-BL44-N(BN44))+(N(BJ44)+N(BK44))-(N(BN44)+N(BO44))))/((AN44+BG44)/2),0)</f>
        <v>0.0636582771942049</v>
      </c>
      <c r="V44" s="17" t="n">
        <f aca="false">IFERROR((AK44-BD44)/((AN44+BG44)/2),0)</f>
        <v>0.0295831679001661</v>
      </c>
      <c r="W44" s="17" t="n">
        <f aca="false">IFERROR((N(AL44)-N(BE44))/((AN44+BG44)/2),0)</f>
        <v>0.0856399684909805</v>
      </c>
      <c r="X44" s="17" t="n">
        <f aca="false">IFERROR((AN44-N(AO44)-AP44)/AN44,0)</f>
        <v>0.796183511378518</v>
      </c>
      <c r="Y44" s="17" t="n">
        <f aca="false">IF(COUNT(BP44,BQ44,BR44,BS44)=4,IFERROR((AD44-(AK44-BD44))/(AW44-(BD44-BP44))-1,0),0)</f>
        <v>0.269177829219264</v>
      </c>
      <c r="Z44" s="17" t="n">
        <f aca="false">IF(COUNT(BP44,BQ44,BR44,BS44)=4,IFERROR(AH44/((AN44+BG44)/2)-BA44/((BG44+BR44)/2),0),0)</f>
        <v>0.0105448038362615</v>
      </c>
      <c r="AA44" s="9" t="n">
        <f aca="false">IF(N(AJ44)&gt;0,1,0)</f>
        <v>1</v>
      </c>
      <c r="AB44" s="17" t="n">
        <f aca="false">Inputs!$C$24+Inputs!$C$25*U44+Inputs!$C$26*V44+Inputs!$C$27*W44+Inputs!$C$28*X44+Inputs!$C$29*Y44+Inputs!$C$30*Z44+Inputs!$C$31*AA44</f>
        <v>-5.02537352113202</v>
      </c>
      <c r="AD44" s="30" t="n">
        <v>7391.024</v>
      </c>
      <c r="AE44" s="30" t="n">
        <v>6101.856</v>
      </c>
      <c r="AF44" s="30" t="n">
        <v>231.595</v>
      </c>
      <c r="AG44" s="30" t="n">
        <v>35.512</v>
      </c>
      <c r="AH44" s="30" t="n">
        <v>612.577</v>
      </c>
      <c r="AI44" s="30" t="n">
        <v>620.458</v>
      </c>
      <c r="AJ44" s="30" t="n">
        <v>1014.719</v>
      </c>
      <c r="AK44" s="30" t="n">
        <v>845.729</v>
      </c>
      <c r="AL44" s="30" t="n">
        <v>2052.805</v>
      </c>
      <c r="AM44" s="30" t="n">
        <v>3570.834</v>
      </c>
      <c r="AN44" s="30" t="n">
        <v>4095.964</v>
      </c>
      <c r="AO44" s="30" t="n">
        <v>291.669</v>
      </c>
      <c r="AP44" s="30" t="n">
        <v>543.156</v>
      </c>
      <c r="AQ44" s="30" t="s">
        <v>185</v>
      </c>
      <c r="AR44" s="30" t="s">
        <v>185</v>
      </c>
      <c r="AS44" s="30" t="n">
        <v>1604.821</v>
      </c>
      <c r="AT44" s="30" t="n">
        <v>1930.425</v>
      </c>
      <c r="AU44" s="30" t="n">
        <v>105.389</v>
      </c>
      <c r="AV44" s="30" t="s">
        <v>185</v>
      </c>
      <c r="AW44" s="30" t="n">
        <v>6015.499</v>
      </c>
      <c r="AX44" s="30" t="n">
        <v>5006.102</v>
      </c>
      <c r="AY44" s="30" t="n">
        <v>201.862</v>
      </c>
      <c r="AZ44" s="30" t="n">
        <v>33.47</v>
      </c>
      <c r="BA44" s="30" t="n">
        <v>444.142</v>
      </c>
      <c r="BB44" s="30" t="n">
        <v>7.357</v>
      </c>
      <c r="BC44" s="30" t="n">
        <v>962.652</v>
      </c>
      <c r="BD44" s="30" t="n">
        <v>736.312</v>
      </c>
      <c r="BE44" s="30" t="n">
        <v>1736.055</v>
      </c>
      <c r="BF44" s="30" t="n">
        <v>2879.88</v>
      </c>
      <c r="BG44" s="30" t="n">
        <v>3301.283</v>
      </c>
      <c r="BH44" s="30" t="n">
        <v>290.752</v>
      </c>
      <c r="BI44" s="30" t="n">
        <v>238.268</v>
      </c>
      <c r="BJ44" s="30" t="s">
        <v>185</v>
      </c>
      <c r="BK44" s="30" t="n">
        <v>1.59</v>
      </c>
      <c r="BL44" s="30" t="n">
        <v>1353.355</v>
      </c>
      <c r="BM44" s="30" t="n">
        <v>1676.08</v>
      </c>
      <c r="BN44" s="30" t="n">
        <v>148.551</v>
      </c>
      <c r="BO44" s="30" t="n">
        <v>101.173</v>
      </c>
      <c r="BP44" s="30" t="n">
        <v>458.076</v>
      </c>
      <c r="BQ44" s="30" t="n">
        <v>3827.902</v>
      </c>
      <c r="BR44" s="30" t="n">
        <v>2426.693</v>
      </c>
      <c r="BS44" s="30" t="n">
        <v>110.701</v>
      </c>
    </row>
    <row r="45" customFormat="false" ht="15" hidden="false" customHeight="false" outlineLevel="0" collapsed="false">
      <c r="B45" s="24" t="n">
        <v>45291</v>
      </c>
      <c r="C45" s="24" t="n">
        <v>45324</v>
      </c>
      <c r="D45" s="25" t="s">
        <v>184</v>
      </c>
      <c r="E45" s="26" t="n">
        <f aca="false">Inputs!$C$13+Inputs!$C$14*M45+Inputs!$C$15*N45+Inputs!$C$16*O45+Inputs!$C$17*P45+Inputs!$C$18*Q45+Inputs!$C$19*R45+Inputs!$C$20*S45+Inputs!$C$21*T45</f>
        <v>-0.946957532526325</v>
      </c>
      <c r="F45" s="26" t="n">
        <f aca="false">EXP(AB45)/(1+EXP(AB45))/Inputs!$C$32</f>
        <v>3.65538131482963</v>
      </c>
      <c r="G45" s="27" t="n">
        <f aca="false">IFERROR((AH45-AI45)/((AN45+BG45)/2),"n/a")</f>
        <v>0.204740079590167</v>
      </c>
      <c r="H45" s="28" t="n">
        <f aca="false">IFERROR(AI45/AH45,"n/a")</f>
        <v>-0.185305948567543</v>
      </c>
      <c r="I45" s="29" t="n">
        <f aca="false">IFERROR(AK45/AD45*365,"n/a")</f>
        <v>59.2887776211037</v>
      </c>
      <c r="J45" s="29" t="n">
        <f aca="false">IFERROR(N(AL45)/AE45*365,"n/a")</f>
        <v>116.387561985527</v>
      </c>
      <c r="K45" s="9" t="n">
        <f aca="false">IF(E45&gt;Inputs!$C$7,1,0)</f>
        <v>1</v>
      </c>
      <c r="L45" s="9" t="n">
        <f aca="false">IF(F45&gt;Inputs!$C$8,1,0)</f>
        <v>1</v>
      </c>
      <c r="M45" s="17" t="n">
        <f aca="false">IFERROR((AK45/AD45)/(BD45/AW45),1)</f>
        <v>1.40540758370589</v>
      </c>
      <c r="N45" s="17" t="n">
        <f aca="false">IFERROR(((AW45-AX45)/AW45)/((AD45-AE45)/AD45),1)</f>
        <v>1.08639216597637</v>
      </c>
      <c r="O45" s="17" t="n">
        <f aca="false">IFERROR((1-(AM45+AO45)/AN45)/(1-(BF45+BH45)/BG45),1)</f>
        <v>1.10930252483947</v>
      </c>
      <c r="P45" s="17" t="n">
        <f aca="false">IFERROR(AD45/AW45,1)</f>
        <v>1.39217125382263</v>
      </c>
      <c r="Q45" s="17" t="n">
        <f aca="false">IFERROR((AZ45/(AZ45+BH45))/(AG45/(AG45+AO45)),1)</f>
        <v>0.961367822841136</v>
      </c>
      <c r="R45" s="17" t="n">
        <f aca="false">IFERROR((AF45/AD45)/(AY45/AW45),1)</f>
        <v>0.920053795300236</v>
      </c>
      <c r="S45" s="17" t="n">
        <f aca="false">IFERROR((AH45-AI45)/AN45,0)</f>
        <v>0.160609065679926</v>
      </c>
      <c r="T45" s="17" t="n">
        <f aca="false">IFERROR(((AS45+N(AU45))/AN45)/((BL45+N(BN45))/BG45),1)</f>
        <v>1.12330402681244</v>
      </c>
      <c r="U45" s="17" t="n">
        <f aca="false">IFERROR((((AM45-AP45-N(AQ45))-(AS45-N(AV45))+(AN45-AM45-N(AR45))-(AT45-AS45-N(AU45))+(N(AQ45)+N(AR45))-(N(AU45)+N(AV45)))-((BF45-BI45-N(BJ45))-(BL45-N(BO45))+(BG45-BF45-N(BK45))-(BM45-BL45-N(BN45))+(N(BJ45)+N(BK45))-(N(BN45)+N(BO45))))/((AN45+BG45)/2),0)</f>
        <v>0.197446397628663</v>
      </c>
      <c r="V45" s="17" t="n">
        <f aca="false">IFERROR((AK45-BD45)/((AN45+BG45)/2),0)</f>
        <v>0.173304015522748</v>
      </c>
      <c r="W45" s="17" t="n">
        <f aca="false">IFERROR((N(AL45)-N(BE45))/((AN45+BG45)/2),0)</f>
        <v>0.246506402991907</v>
      </c>
      <c r="X45" s="17" t="n">
        <f aca="false">IFERROR((AN45-N(AO45)-AP45)/AN45,0)</f>
        <v>0.810774838112859</v>
      </c>
      <c r="Y45" s="17" t="n">
        <f aca="false">IF(COUNT(BP45,BQ45,BR45,BS45)=4,IFERROR((AD45-(AK45-BD45))/(AW45-(BD45-BP45))-1,0),0)</f>
        <v>0.336035902219405</v>
      </c>
      <c r="Z45" s="17" t="n">
        <f aca="false">IF(COUNT(BP45,BQ45,BR45,BS45)=4,IFERROR(AH45/((AN45+BG45)/2)-BA45/((BG45+BR45)/2),0),0)</f>
        <v>-0.0283887616434665</v>
      </c>
      <c r="AA45" s="9" t="n">
        <f aca="false">IF(N(AJ45)&gt;0,1,0)</f>
        <v>1</v>
      </c>
      <c r="AB45" s="17" t="n">
        <f aca="false">Inputs!$C$24+Inputs!$C$25*U45+Inputs!$C$26*V45+Inputs!$C$27*W45+Inputs!$C$28*X45+Inputs!$C$29*Y45+Inputs!$C$30*Z45+Inputs!$C$31*AA45</f>
        <v>-4.28960483906714</v>
      </c>
      <c r="AD45" s="30" t="n">
        <v>9252.753</v>
      </c>
      <c r="AE45" s="30" t="n">
        <v>7736.685</v>
      </c>
      <c r="AF45" s="30" t="n">
        <v>264.089</v>
      </c>
      <c r="AG45" s="30" t="n">
        <v>36.483</v>
      </c>
      <c r="AH45" s="30" t="n">
        <v>732.378</v>
      </c>
      <c r="AI45" s="30" t="n">
        <v>-135.714</v>
      </c>
      <c r="AJ45" s="30" t="n">
        <v>1807.506</v>
      </c>
      <c r="AK45" s="30" t="n">
        <v>1502.971</v>
      </c>
      <c r="AL45" s="30" t="n">
        <v>2466.997</v>
      </c>
      <c r="AM45" s="30" t="n">
        <v>4842.355</v>
      </c>
      <c r="AN45" s="30" t="n">
        <v>5405</v>
      </c>
      <c r="AO45" s="30" t="n">
        <v>297.102</v>
      </c>
      <c r="AP45" s="30" t="n">
        <v>725.66</v>
      </c>
      <c r="AQ45" s="30" t="s">
        <v>185</v>
      </c>
      <c r="AR45" s="30" t="s">
        <v>185</v>
      </c>
      <c r="AS45" s="30" t="n">
        <v>1992.089</v>
      </c>
      <c r="AT45" s="30" t="n">
        <v>2327.926</v>
      </c>
      <c r="AU45" s="30" t="n">
        <v>99.322</v>
      </c>
      <c r="AV45" s="30" t="s">
        <v>185</v>
      </c>
      <c r="AW45" s="30" t="n">
        <v>6646.275</v>
      </c>
      <c r="AX45" s="30" t="n">
        <v>5463.199</v>
      </c>
      <c r="AY45" s="30" t="n">
        <v>206.179</v>
      </c>
      <c r="AZ45" s="30" t="n">
        <v>33.986</v>
      </c>
      <c r="BA45" s="30" t="n">
        <v>578.377</v>
      </c>
      <c r="BB45" s="30" t="n">
        <v>221.595</v>
      </c>
      <c r="BC45" s="30" t="n">
        <v>709.635</v>
      </c>
      <c r="BD45" s="30" t="n">
        <v>768.167</v>
      </c>
      <c r="BE45" s="30" t="n">
        <v>1421.817</v>
      </c>
      <c r="BF45" s="30" t="n">
        <v>2649.503</v>
      </c>
      <c r="BG45" s="30" t="n">
        <v>3074.942</v>
      </c>
      <c r="BH45" s="30" t="n">
        <v>289.255</v>
      </c>
      <c r="BI45" s="30" t="n">
        <v>304.595</v>
      </c>
      <c r="BJ45" s="30" t="s">
        <v>185</v>
      </c>
      <c r="BK45" s="30" t="n">
        <v>1.59</v>
      </c>
      <c r="BL45" s="30" t="n">
        <v>916.94</v>
      </c>
      <c r="BM45" s="30" t="n">
        <v>1256.1</v>
      </c>
      <c r="BN45" s="30" t="n">
        <v>142.273</v>
      </c>
      <c r="BO45" s="30" t="s">
        <v>185</v>
      </c>
      <c r="BP45" s="30" t="n">
        <v>497.431</v>
      </c>
      <c r="BQ45" s="30" t="n">
        <v>4170.015</v>
      </c>
      <c r="BR45" s="30" t="n">
        <v>2676.602</v>
      </c>
      <c r="BS45" s="30" t="n">
        <v>124.959</v>
      </c>
    </row>
    <row r="46" customFormat="false" ht="15" hidden="false" customHeight="false" outlineLevel="0" collapsed="false">
      <c r="B46" s="24" t="n">
        <v>45382</v>
      </c>
      <c r="C46" s="24" t="n">
        <v>45418</v>
      </c>
      <c r="D46" s="25" t="s">
        <v>184</v>
      </c>
      <c r="E46" s="26" t="n">
        <f aca="false">Inputs!$C$13+Inputs!$C$14*M46+Inputs!$C$15*N46+Inputs!$C$16*O46+Inputs!$C$17*P46+Inputs!$C$18*Q46+Inputs!$C$19*R46+Inputs!$C$20*S46+Inputs!$C$21*T46</f>
        <v>0.290982568034524</v>
      </c>
      <c r="F46" s="26" t="n">
        <f aca="false">EXP(AB46)/(1+EXP(AB46))/Inputs!$C$32</f>
        <v>4.01310072355212</v>
      </c>
      <c r="G46" s="27" t="n">
        <f aca="false">IFERROR((AH46-AI46)/((AN46+BG46)/2),"n/a")</f>
        <v>0.481525558909981</v>
      </c>
      <c r="H46" s="28" t="n">
        <f aca="false">IFERROR(AI46/AH46,"n/a")</f>
        <v>-1.76693317673841</v>
      </c>
      <c r="I46" s="29" t="n">
        <f aca="false">IFERROR(AK46/AD46*365,"n/a")</f>
        <v>50.958557718446</v>
      </c>
      <c r="J46" s="29" t="n">
        <f aca="false">IFERROR(N(AL46)/AE46*365,"n/a")</f>
        <v>151.571350601856</v>
      </c>
      <c r="K46" s="9" t="n">
        <f aca="false">IF(E46&gt;Inputs!$C$7,1,0)</f>
        <v>1</v>
      </c>
      <c r="L46" s="9" t="n">
        <f aca="false">IF(F46&gt;Inputs!$C$8,1,0)</f>
        <v>1</v>
      </c>
      <c r="M46" s="17" t="n">
        <f aca="false">IFERROR((AK46/AD46)/(BD46/AW46),1)</f>
        <v>1.36569744662426</v>
      </c>
      <c r="N46" s="17" t="n">
        <f aca="false">IFERROR(((AW46-AX46)/AW46)/((AD46-AE46)/AD46),1)</f>
        <v>1.14201363932254</v>
      </c>
      <c r="O46" s="17" t="n">
        <f aca="false">IFERROR((1-(AM46+AO46)/AN46)/(1-(BF46+BH46)/BG46),1)</f>
        <v>0.794463314849555</v>
      </c>
      <c r="P46" s="17" t="n">
        <f aca="false">IFERROR(AD46/AW46,1)</f>
        <v>1.79789737911656</v>
      </c>
      <c r="Q46" s="17" t="n">
        <f aca="false">IFERROR((AZ46/(AZ46+BH46))/(AG46/(AG46+AO46)),1)</f>
        <v>1.17632935659018</v>
      </c>
      <c r="R46" s="17" t="n">
        <f aca="false">IFERROR((AF46/AD46)/(AY46/AW46),1)</f>
        <v>0.857108831864193</v>
      </c>
      <c r="S46" s="17" t="n">
        <f aca="false">IFERROR((AH46-AI46)/AN46,0)</f>
        <v>0.327491788412689</v>
      </c>
      <c r="T46" s="17" t="n">
        <f aca="false">IFERROR(((AS46+N(AU46))/AN46)/((BL46+N(BN46))/BG46),1)</f>
        <v>0.530028014383771</v>
      </c>
      <c r="U46" s="17" t="n">
        <f aca="false">IFERROR((((AM46-AP46-N(AQ46))-(AS46-N(AV46))+(AN46-AM46-N(AR46))-(AT46-AS46-N(AU46))+(N(AQ46)+N(AR46))-(N(AU46)+N(AV46)))-((BF46-BI46-N(BJ46))-(BL46-N(BO46))+(BG46-BF46-N(BK46))-(BM46-BL46-N(BN46))+(N(BJ46)+N(BK46))-(N(BN46)+N(BO46))))/((AN46+BG46)/2),0)</f>
        <v>0.26094695441083</v>
      </c>
      <c r="V46" s="17" t="n">
        <f aca="false">IFERROR((AK46-BD46)/((AN46+BG46)/2),0)</f>
        <v>0.16226740166324</v>
      </c>
      <c r="W46" s="17" t="n">
        <f aca="false">IFERROR((N(AL46)-N(BE46))/((AN46+BG46)/2),0)</f>
        <v>0.428715963861793</v>
      </c>
      <c r="X46" s="17" t="n">
        <f aca="false">IFERROR((AN46-N(AO46)-AP46)/AN46,0)</f>
        <v>0.71780392632967</v>
      </c>
      <c r="Y46" s="17" t="n">
        <f aca="false">IF(COUNT(BP46,BQ46,BR46,BS46)=4,IFERROR((AD46-(AK46-BD46))/(AW46-(BD46-BP46))-1,0),0)</f>
        <v>0.647179628828601</v>
      </c>
      <c r="Z46" s="17" t="n">
        <f aca="false">IF(COUNT(BP46,BQ46,BR46,BS46)=4,IFERROR(AH46/((AN46+BG46)/2)-BA46/((BG46+BR46)/2),0),0)</f>
        <v>-0.0134782560953535</v>
      </c>
      <c r="AA46" s="9" t="n">
        <f aca="false">IF(N(AJ46)&gt;0,1,0)</f>
        <v>1</v>
      </c>
      <c r="AB46" s="17" t="n">
        <f aca="false">Inputs!$C$24+Inputs!$C$25*U46+Inputs!$C$26*V46+Inputs!$C$27*W46+Inputs!$C$28*X46+Inputs!$C$29*Y46+Inputs!$C$30*Z46+Inputs!$C$31*AA46</f>
        <v>-4.19489845425103</v>
      </c>
      <c r="AD46" s="30" t="n">
        <v>11819.523</v>
      </c>
      <c r="AE46" s="30" t="n">
        <v>9932.446</v>
      </c>
      <c r="AF46" s="30" t="n">
        <v>317.155</v>
      </c>
      <c r="AG46" s="30" t="n">
        <v>38.146</v>
      </c>
      <c r="AH46" s="30" t="n">
        <v>1048.991</v>
      </c>
      <c r="AI46" s="30" t="n">
        <v>-1853.497</v>
      </c>
      <c r="AJ46" s="30" t="n">
        <v>2748.384</v>
      </c>
      <c r="AK46" s="30" t="n">
        <v>1650.153</v>
      </c>
      <c r="AL46" s="30" t="n">
        <v>4124.587</v>
      </c>
      <c r="AM46" s="30" t="n">
        <v>8063.932</v>
      </c>
      <c r="AN46" s="30" t="n">
        <v>8862.781</v>
      </c>
      <c r="AO46" s="30" t="n">
        <v>385.566</v>
      </c>
      <c r="AP46" s="30" t="n">
        <v>2115.476</v>
      </c>
      <c r="AQ46" s="30" t="s">
        <v>185</v>
      </c>
      <c r="AR46" s="30" t="s">
        <v>185</v>
      </c>
      <c r="AS46" s="30" t="n">
        <v>1717.695</v>
      </c>
      <c r="AT46" s="30" t="n">
        <v>3768.625</v>
      </c>
      <c r="AU46" s="30" t="n">
        <v>85.646</v>
      </c>
      <c r="AV46" s="30" t="s">
        <v>185</v>
      </c>
      <c r="AW46" s="30" t="n">
        <v>6574.081</v>
      </c>
      <c r="AX46" s="30" t="n">
        <v>5375.421</v>
      </c>
      <c r="AY46" s="30" t="n">
        <v>205.812</v>
      </c>
      <c r="AZ46" s="30" t="n">
        <v>34.354</v>
      </c>
      <c r="BA46" s="30" t="n">
        <v>587.251</v>
      </c>
      <c r="BB46" s="30" t="n">
        <v>647.776</v>
      </c>
      <c r="BC46" s="30" t="n">
        <v>379.568</v>
      </c>
      <c r="BD46" s="30" t="n">
        <v>672.055</v>
      </c>
      <c r="BE46" s="30" t="n">
        <v>1540.419</v>
      </c>
      <c r="BF46" s="30" t="n">
        <v>2715.175</v>
      </c>
      <c r="BG46" s="30" t="n">
        <v>3192.604</v>
      </c>
      <c r="BH46" s="30" t="n">
        <v>290.038</v>
      </c>
      <c r="BI46" s="30" t="n">
        <v>362.801</v>
      </c>
      <c r="BJ46" s="30" t="s">
        <v>185</v>
      </c>
      <c r="BK46" s="30" t="n">
        <v>1.59</v>
      </c>
      <c r="BL46" s="30" t="n">
        <v>1092.38</v>
      </c>
      <c r="BM46" s="30" t="n">
        <v>1424.031</v>
      </c>
      <c r="BN46" s="30" t="n">
        <v>133.235</v>
      </c>
      <c r="BO46" s="30" t="s">
        <v>185</v>
      </c>
      <c r="BP46" s="30" t="n">
        <v>679.785</v>
      </c>
      <c r="BQ46" s="30" t="n">
        <v>4629.624</v>
      </c>
      <c r="BR46" s="30" t="n">
        <v>3071.177</v>
      </c>
      <c r="BS46" s="30" t="n">
        <v>183.503</v>
      </c>
    </row>
    <row r="47" customFormat="false" ht="15" hidden="false" customHeight="false" outlineLevel="0" collapsed="false">
      <c r="B47" s="24" t="n">
        <v>45473</v>
      </c>
      <c r="C47" s="24" t="n">
        <v>45713</v>
      </c>
      <c r="D47" s="25" t="s">
        <v>184</v>
      </c>
      <c r="E47" s="26" t="n">
        <f aca="false">Inputs!$C$13+Inputs!$C$14*M47+Inputs!$C$15*N47+Inputs!$C$16*O47+Inputs!$C$17*P47+Inputs!$C$18*Q47+Inputs!$C$19*R47+Inputs!$C$20*S47+Inputs!$C$21*T47</f>
        <v>0.661711509860646</v>
      </c>
      <c r="F47" s="26" t="n">
        <f aca="false">EXP(AB47)/(1+EXP(AB47))/Inputs!$C$32</f>
        <v>6.12925807373421</v>
      </c>
      <c r="G47" s="27" t="n">
        <f aca="false">IFERROR((AH47-AI47)/((AN47+BG47)/2),"n/a")</f>
        <v>0.539024700794122</v>
      </c>
      <c r="H47" s="28" t="n">
        <f aca="false">IFERROR(AI47/AH47,"n/a")</f>
        <v>-2.15671495472236</v>
      </c>
      <c r="I47" s="29" t="n">
        <f aca="false">IFERROR(AK47/AD47*365,"n/a")</f>
        <v>66.6561534662406</v>
      </c>
      <c r="J47" s="29" t="n">
        <f aca="false">IFERROR(N(AL47)/AE47*365,"n/a")</f>
        <v>122.3371779557</v>
      </c>
      <c r="K47" s="9" t="n">
        <f aca="false">IF(E47&gt;Inputs!$C$7,1,0)</f>
        <v>1</v>
      </c>
      <c r="L47" s="9" t="n">
        <f aca="false">IF(F47&gt;Inputs!$C$8,1,0)</f>
        <v>1</v>
      </c>
      <c r="M47" s="17" t="n">
        <f aca="false">IFERROR((AK47/AD47)/(BD47/AW47),1)</f>
        <v>1.13292159959569</v>
      </c>
      <c r="N47" s="17" t="n">
        <f aca="false">IFERROR(((AW47-AX47)/AW47)/((AD47-AE47)/AD47),1)</f>
        <v>1.30964605984836</v>
      </c>
      <c r="O47" s="17" t="n">
        <f aca="false">IFERROR((1-(AM47+AO47)/AN47)/(1-(BF47+BH47)/BG47),1)</f>
        <v>0.875609771784551</v>
      </c>
      <c r="P47" s="17" t="n">
        <f aca="false">IFERROR(AD47/AW47,1)</f>
        <v>2.10420283226658</v>
      </c>
      <c r="Q47" s="17" t="n">
        <f aca="false">IFERROR((AZ47/(AZ47+BH47))/(AG47/(AG47+AO47)),1)</f>
        <v>1.25147840217291</v>
      </c>
      <c r="R47" s="17" t="n">
        <f aca="false">IFERROR((AF47/AD47)/(AY47/AW47),1)</f>
        <v>0.857180243407718</v>
      </c>
      <c r="S47" s="17" t="n">
        <f aca="false">IFERROR((AH47-AI47)/AN47,0)</f>
        <v>0.370303677189263</v>
      </c>
      <c r="T47" s="17" t="n">
        <f aca="false">IFERROR(((AS47+N(AU47))/AN47)/((BL47+N(BN47))/BG47),1)</f>
        <v>0.586852218661732</v>
      </c>
      <c r="U47" s="17" t="n">
        <f aca="false">IFERROR((((AM47-AP47-N(AQ47))-(AS47-N(AV47))+(AN47-AM47-N(AR47))-(AT47-AS47-N(AU47))+(N(AQ47)+N(AR47))-(N(AU47)+N(AV47)))-((BF47-BI47-N(BJ47))-(BL47-N(BO47))+(BG47-BF47-N(BK47))-(BM47-BL47-N(BN47))+(N(BJ47)+N(BK47))-(N(BN47)+N(BO47))))/((AN47+BG47)/2),0)</f>
        <v>0.328260481344061</v>
      </c>
      <c r="V47" s="17" t="n">
        <f aca="false">IFERROR((AK47-BD47)/((AN47+BG47)/2),0)</f>
        <v>0.235403758038122</v>
      </c>
      <c r="W47" s="17" t="n">
        <f aca="false">IFERROR((N(AL47)-N(BE47))/((AN47+BG47)/2),0)</f>
        <v>0.427746579263587</v>
      </c>
      <c r="X47" s="17" t="n">
        <f aca="false">IFERROR((AN47-N(AO47)-AP47)/AN47,0)</f>
        <v>0.7879346132725</v>
      </c>
      <c r="Y47" s="17" t="n">
        <f aca="false">IF(COUNT(BP47,BQ47,BR47,BS47)=4,IFERROR((AD47-(AK47-BD47))/(AW47-(BD47-BP47))-1,0),0)</f>
        <v>0.967797136335388</v>
      </c>
      <c r="Z47" s="17" t="n">
        <f aca="false">IF(COUNT(BP47,BQ47,BR47,BS47)=4,IFERROR(AH47/((AN47+BG47)/2)-BA47/((BG47+BR47)/2),0),0)</f>
        <v>-0.0152962275403196</v>
      </c>
      <c r="AA47" s="9" t="n">
        <f aca="false">IF(N(AJ47)&gt;0,1,0)</f>
        <v>1</v>
      </c>
      <c r="AB47" s="17" t="n">
        <f aca="false">Inputs!$C$24+Inputs!$C$25*U47+Inputs!$C$26*V47+Inputs!$C$27*W47+Inputs!$C$28*X47+Inputs!$C$29*Y47+Inputs!$C$30*Z47+Inputs!$C$31*AA47</f>
        <v>-3.76340938704806</v>
      </c>
      <c r="AD47" s="30" t="n">
        <v>14989.251</v>
      </c>
      <c r="AE47" s="30" t="n">
        <v>12927.841</v>
      </c>
      <c r="AF47" s="30" t="n">
        <v>387.088</v>
      </c>
      <c r="AG47" s="30" t="n">
        <v>30.1</v>
      </c>
      <c r="AH47" s="30" t="n">
        <v>1152.666</v>
      </c>
      <c r="AI47" s="30" t="n">
        <v>-2485.972</v>
      </c>
      <c r="AJ47" s="30" t="n">
        <v>2156.529</v>
      </c>
      <c r="AK47" s="30" t="n">
        <v>2737.331</v>
      </c>
      <c r="AL47" s="30" t="n">
        <v>4333.029</v>
      </c>
      <c r="AM47" s="30" t="n">
        <v>8931.96</v>
      </c>
      <c r="AN47" s="30" t="n">
        <v>9826.092</v>
      </c>
      <c r="AO47" s="30" t="n">
        <v>414.008</v>
      </c>
      <c r="AP47" s="30" t="n">
        <v>1669.766</v>
      </c>
      <c r="AQ47" s="30" t="s">
        <v>185</v>
      </c>
      <c r="AR47" s="30" t="s">
        <v>185</v>
      </c>
      <c r="AS47" s="30" t="n">
        <v>2345.721</v>
      </c>
      <c r="AT47" s="30" t="n">
        <v>4408.722</v>
      </c>
      <c r="AU47" s="30" t="s">
        <v>185</v>
      </c>
      <c r="AV47" s="30" t="s">
        <v>185</v>
      </c>
      <c r="AW47" s="30" t="n">
        <v>7123.482</v>
      </c>
      <c r="AX47" s="30" t="n">
        <v>5840.47</v>
      </c>
      <c r="AY47" s="30" t="n">
        <v>214.61</v>
      </c>
      <c r="AZ47" s="30" t="n">
        <v>26.9</v>
      </c>
      <c r="BA47" s="30" t="n">
        <v>639.998</v>
      </c>
      <c r="BB47" s="30" t="n">
        <v>663.58</v>
      </c>
      <c r="BC47" s="30" t="n">
        <v>1093.86</v>
      </c>
      <c r="BD47" s="30" t="n">
        <v>1148.259</v>
      </c>
      <c r="BE47" s="30" t="n">
        <v>1445.564</v>
      </c>
      <c r="BF47" s="30" t="n">
        <v>3179.426</v>
      </c>
      <c r="BG47" s="30" t="n">
        <v>3674.729</v>
      </c>
      <c r="BH47" s="30" t="n">
        <v>290.24</v>
      </c>
      <c r="BI47" s="30" t="n">
        <v>440.459</v>
      </c>
      <c r="BJ47" s="30" t="s">
        <v>185</v>
      </c>
      <c r="BK47" s="30" t="s">
        <v>185</v>
      </c>
      <c r="BL47" s="30" t="n">
        <v>1374.652</v>
      </c>
      <c r="BM47" s="30" t="n">
        <v>1702.559</v>
      </c>
      <c r="BN47" s="30" t="n">
        <v>120.179</v>
      </c>
      <c r="BO47" s="30" t="n">
        <v>170.123</v>
      </c>
      <c r="BP47" s="30" t="n">
        <v>834.513</v>
      </c>
      <c r="BQ47" s="30" t="n">
        <v>5196.099</v>
      </c>
      <c r="BR47" s="30" t="n">
        <v>3205.077</v>
      </c>
      <c r="BS47" s="30" t="n">
        <v>285.163</v>
      </c>
    </row>
    <row r="48" customFormat="false" ht="15" hidden="false" customHeight="false" outlineLevel="0" collapsed="false">
      <c r="B48" s="24" t="n">
        <v>45565</v>
      </c>
      <c r="C48" s="24" t="n">
        <v>45713</v>
      </c>
      <c r="D48" s="25" t="s">
        <v>184</v>
      </c>
      <c r="E48" s="26" t="n">
        <f aca="false">Inputs!$C$13+Inputs!$C$14*M48+Inputs!$C$15*N48+Inputs!$C$16*O48+Inputs!$C$17*P48+Inputs!$C$18*Q48+Inputs!$C$19*R48+Inputs!$C$20*S48+Inputs!$C$21*T48</f>
        <v>1.07756240265592</v>
      </c>
      <c r="F48" s="26" t="n">
        <f aca="false">EXP(AB48)/(1+EXP(AB48))/Inputs!$C$32</f>
        <v>5.79036454012549</v>
      </c>
      <c r="G48" s="27" t="n">
        <f aca="false">IFERROR((AH48-AI48)/((AN48+BG48)/2),"n/a")</f>
        <v>0.504106982998388</v>
      </c>
      <c r="H48" s="28" t="n">
        <f aca="false">IFERROR(AI48/AH48,"n/a")</f>
        <v>-1.6531945819642</v>
      </c>
      <c r="I48" s="29" t="n">
        <f aca="false">IFERROR(AK48/AD48*365,"n/a")</f>
        <v>53.0171663653135</v>
      </c>
      <c r="J48" s="29" t="n">
        <f aca="false">IFERROR(N(AL48)/AE48*365,"n/a")</f>
        <v>110.250462583597</v>
      </c>
      <c r="K48" s="9" t="n">
        <f aca="false">IF(E48&gt;Inputs!$C$7,1,0)</f>
        <v>1</v>
      </c>
      <c r="L48" s="9" t="n">
        <f aca="false">IF(F48&gt;Inputs!$C$8,1,0)</f>
        <v>1</v>
      </c>
      <c r="M48" s="17" t="n">
        <f aca="false">IFERROR((AK48/AD48)/(BD48/AW48),1)</f>
        <v>1.26939574240709</v>
      </c>
      <c r="N48" s="17" t="n">
        <f aca="false">IFERROR(((AW48-AX48)/AW48)/((AD48-AE48)/AD48),1)</f>
        <v>1.3209658948544</v>
      </c>
      <c r="O48" s="17" t="n">
        <f aca="false">IFERROR((1-(AM48+AO48)/AN48)/(1-(BF48+BH48)/BG48),1)</f>
        <v>0.887202025752152</v>
      </c>
      <c r="P48" s="17" t="n">
        <f aca="false">IFERROR(AD48/AW48,1)</f>
        <v>2.54455066036858</v>
      </c>
      <c r="Q48" s="17" t="n">
        <f aca="false">IFERROR((AZ48/(AZ48+BH48))/(AG48/(AG48+AO48)),1)</f>
        <v>1.20372116042302</v>
      </c>
      <c r="R48" s="17" t="n">
        <f aca="false">IFERROR((AF48/AD48)/(AY48/AW48),1)</f>
        <v>0.765430191693117</v>
      </c>
      <c r="S48" s="17" t="n">
        <f aca="false">IFERROR((AH48-AI48)/AN48,0)</f>
        <v>0.347193624996924</v>
      </c>
      <c r="T48" s="17" t="n">
        <f aca="false">IFERROR(((AS48+N(AU48))/AN48)/((BL48+N(BN48))/BG48),1)</f>
        <v>0.633680098264242</v>
      </c>
      <c r="U48" s="17" t="n">
        <f aca="false">IFERROR((((AM48-AP48-N(AQ48))-(AS48-N(AV48))+(AN48-AM48-N(AR48))-(AT48-AS48-N(AU48))+(N(AQ48)+N(AR48))-(N(AU48)+N(AV48)))-((BF48-BI48-N(BJ48))-(BL48-N(BO48))+(BG48-BF48-N(BK48))-(BM48-BL48-N(BN48))+(N(BJ48)+N(BK48))-(N(BN48)+N(BO48))))/((AN48+BG48)/2),0)</f>
        <v>0.289792696991647</v>
      </c>
      <c r="V48" s="17" t="n">
        <f aca="false">IFERROR((AK48-BD48)/((AN48+BG48)/2),0)</f>
        <v>0.252353946155127</v>
      </c>
      <c r="W48" s="17" t="n">
        <f aca="false">IFERROR((N(AL48)-N(BE48))/((AN48+BG48)/2),0)</f>
        <v>0.385060706759534</v>
      </c>
      <c r="X48" s="17" t="n">
        <f aca="false">IFERROR((AN48-N(AO48)-AP48)/AN48,0)</f>
        <v>0.76594891176544</v>
      </c>
      <c r="Y48" s="17" t="n">
        <f aca="false">IF(COUNT(BP48,BQ48,BR48,BS48)=4,IFERROR((AD48-(AK48-BD48))/(AW48-(BD48-BP48))-1,0),0)</f>
        <v>1.32377605657652</v>
      </c>
      <c r="Z48" s="17" t="n">
        <f aca="false">IF(COUNT(BP48,BQ48,BR48,BS48)=4,IFERROR(AH48/((AN48+BG48)/2)-BA48/((BG48+BR48)/2),0),0)</f>
        <v>0.0243770371115209</v>
      </c>
      <c r="AA48" s="9" t="n">
        <f aca="false">IF(N(AJ48)&gt;0,1,0)</f>
        <v>1</v>
      </c>
      <c r="AB48" s="17" t="n">
        <f aca="false">Inputs!$C$24+Inputs!$C$25*U48+Inputs!$C$26*V48+Inputs!$C$27*W48+Inputs!$C$28*X48+Inputs!$C$29*Y48+Inputs!$C$30*Z48+Inputs!$C$31*AA48</f>
        <v>-3.82157002773693</v>
      </c>
      <c r="AD48" s="30" t="n">
        <v>18806.835</v>
      </c>
      <c r="AE48" s="30" t="n">
        <v>16323.536</v>
      </c>
      <c r="AF48" s="30" t="n">
        <v>451.072</v>
      </c>
      <c r="AG48" s="30" t="n">
        <v>32.1</v>
      </c>
      <c r="AH48" s="30" t="n">
        <v>1419.998</v>
      </c>
      <c r="AI48" s="30" t="n">
        <v>-2347.533</v>
      </c>
      <c r="AJ48" s="30" t="n">
        <v>3341.563</v>
      </c>
      <c r="AK48" s="30" t="n">
        <v>2731.74</v>
      </c>
      <c r="AL48" s="30" t="n">
        <v>4930.623</v>
      </c>
      <c r="AM48" s="30" t="n">
        <v>9851.584</v>
      </c>
      <c r="AN48" s="30" t="n">
        <v>10851.383</v>
      </c>
      <c r="AO48" s="30" t="n">
        <v>451.06</v>
      </c>
      <c r="AP48" s="30" t="n">
        <v>2088.718</v>
      </c>
      <c r="AQ48" s="30" t="s">
        <v>185</v>
      </c>
      <c r="AR48" s="30" t="s">
        <v>185</v>
      </c>
      <c r="AS48" s="30" t="n">
        <v>2871.101</v>
      </c>
      <c r="AT48" s="30" t="n">
        <v>4974.466</v>
      </c>
      <c r="AU48" s="30" t="s">
        <v>185</v>
      </c>
      <c r="AV48" s="30" t="s">
        <v>185</v>
      </c>
      <c r="AW48" s="30" t="n">
        <v>7391.024</v>
      </c>
      <c r="AX48" s="30" t="n">
        <v>6101.856</v>
      </c>
      <c r="AY48" s="30" t="n">
        <v>231.595</v>
      </c>
      <c r="AZ48" s="30" t="n">
        <v>25.353</v>
      </c>
      <c r="BA48" s="30" t="n">
        <v>612.577</v>
      </c>
      <c r="BB48" s="30" t="n">
        <v>620.458</v>
      </c>
      <c r="BC48" s="30" t="n">
        <v>1014.719</v>
      </c>
      <c r="BD48" s="30" t="n">
        <v>845.729</v>
      </c>
      <c r="BE48" s="30" t="n">
        <v>2052.805</v>
      </c>
      <c r="BF48" s="30" t="n">
        <v>3570.834</v>
      </c>
      <c r="BG48" s="30" t="n">
        <v>4095.964</v>
      </c>
      <c r="BH48" s="30" t="n">
        <v>291.669</v>
      </c>
      <c r="BI48" s="30" t="n">
        <v>543.156</v>
      </c>
      <c r="BJ48" s="30" t="s">
        <v>185</v>
      </c>
      <c r="BK48" s="30" t="s">
        <v>185</v>
      </c>
      <c r="BL48" s="30" t="n">
        <v>1604.821</v>
      </c>
      <c r="BM48" s="30" t="n">
        <v>1930.425</v>
      </c>
      <c r="BN48" s="30" t="n">
        <v>105.389</v>
      </c>
      <c r="BO48" s="30" t="s">
        <v>185</v>
      </c>
      <c r="BP48" s="30" t="n">
        <v>736.312</v>
      </c>
      <c r="BQ48" s="30" t="n">
        <v>6015.499</v>
      </c>
      <c r="BR48" s="30" t="n">
        <v>3301.283</v>
      </c>
      <c r="BS48" s="30" t="n">
        <v>444.142</v>
      </c>
    </row>
    <row r="49" customFormat="false" ht="15" hidden="false" customHeight="false" outlineLevel="0" collapsed="false">
      <c r="B49" s="24" t="n">
        <v>45657</v>
      </c>
      <c r="C49" s="24" t="n">
        <v>45713</v>
      </c>
      <c r="D49" s="25" t="s">
        <v>184</v>
      </c>
      <c r="E49" s="26" t="n">
        <f aca="false">Inputs!$C$13+Inputs!$C$14*M49+Inputs!$C$15*N49+Inputs!$C$16*O49+Inputs!$C$17*P49+Inputs!$C$18*Q49+Inputs!$C$19*R49+Inputs!$C$20*S49+Inputs!$C$21*T49</f>
        <v>0.70339053747299</v>
      </c>
      <c r="F49" s="26" t="n">
        <f aca="false">EXP(AB49)/(1+EXP(AB49))/Inputs!$C$32</f>
        <v>4.31159120969678</v>
      </c>
      <c r="G49" s="27" t="n">
        <f aca="false">IFERROR((AH49-AI49)/((AN49+BG49)/2),"n/a")</f>
        <v>0.454206299888168</v>
      </c>
      <c r="H49" s="28" t="n">
        <f aca="false">IFERROR(AI49/AH49,"n/a")</f>
        <v>-1.37904551074119</v>
      </c>
      <c r="I49" s="29" t="n">
        <f aca="false">IFERROR(AK49/AD49*365,"n/a")</f>
        <v>53.6372700256145</v>
      </c>
      <c r="J49" s="29" t="n">
        <f aca="false">IFERROR(N(AL49)/AE49*365,"n/a")</f>
        <v>71.9983542752805</v>
      </c>
      <c r="K49" s="9" t="n">
        <f aca="false">IF(E49&gt;Inputs!$C$7,1,0)</f>
        <v>1</v>
      </c>
      <c r="L49" s="9" t="n">
        <f aca="false">IF(F49&gt;Inputs!$C$8,1,0)</f>
        <v>1</v>
      </c>
      <c r="M49" s="17" t="n">
        <f aca="false">IFERROR((AK49/AD49)/(BD49/AW49),1)</f>
        <v>0.904678291200297</v>
      </c>
      <c r="N49" s="17" t="n">
        <f aca="false">IFERROR(((AW49-AX49)/AW49)/((AD49-AE49)/AD49),1)</f>
        <v>1.31763130798842</v>
      </c>
      <c r="O49" s="17" t="n">
        <f aca="false">IFERROR((1-(AM49+AO49)/AN49)/(1-(BF49+BH49)/BG49),1)</f>
        <v>1.22144922689816</v>
      </c>
      <c r="P49" s="17" t="n">
        <f aca="false">IFERROR(AD49/AW49,1)</f>
        <v>2.25012739451707</v>
      </c>
      <c r="Q49" s="17" t="n">
        <f aca="false">IFERROR((AZ49/(AZ49+BH49))/(AG49/(AG49+AO49)),1)</f>
        <v>1.10809585389189</v>
      </c>
      <c r="R49" s="17" t="n">
        <f aca="false">IFERROR((AF49/AD49)/(AY49/AW49),1)</f>
        <v>0.858596262496856</v>
      </c>
      <c r="S49" s="17" t="n">
        <f aca="false">IFERROR((AH49-AI49)/AN49,0)</f>
        <v>0.353280022466302</v>
      </c>
      <c r="T49" s="17" t="n">
        <f aca="false">IFERROR(((AS49+N(AU49))/AN49)/((BL49+N(BN49))/BG49),1)</f>
        <v>0.360708366340016</v>
      </c>
      <c r="U49" s="17" t="n">
        <f aca="false">IFERROR((((AM49-AP49-N(AQ49))-(AS49-N(AV49))+(AN49-AM49-N(AR49))-(AT49-AS49-N(AU49))+(N(AQ49)+N(AR49))-(N(AU49)+N(AV49)))-((BF49-BI49-N(BJ49))-(BL49-N(BO49))+(BG49-BF49-N(BK49))-(BM49-BL49-N(BN49))+(N(BJ49)+N(BK49))-(N(BN49)+N(BO49))))/((AN49+BG49)/2),0)</f>
        <v>0.324719949610622</v>
      </c>
      <c r="V49" s="17" t="n">
        <f aca="false">IFERROR((AK49-BD49)/((AN49+BG49)/2),0)</f>
        <v>0.205709800633673</v>
      </c>
      <c r="W49" s="17" t="n">
        <f aca="false">IFERROR((N(AL49)-N(BE49))/((AN49+BG49)/2),0)</f>
        <v>0.149226463304749</v>
      </c>
      <c r="X49" s="17" t="n">
        <f aca="false">IFERROR((AN49-N(AO49)-AP49)/AN49,0)</f>
        <v>0.803924160607741</v>
      </c>
      <c r="Y49" s="17" t="n">
        <f aca="false">IF(COUNT(BP49,BQ49,BR49,BS49)=4,IFERROR((AD49-(AK49-BD49))/(AW49-(BD49-BP49))-1,0),0)</f>
        <v>1.26149910031159</v>
      </c>
      <c r="Z49" s="17" t="n">
        <f aca="false">IF(COUNT(BP49,BQ49,BR49,BS49)=4,IFERROR(AH49/((AN49+BG49)/2)-BA49/((BG49+BR49)/2),0),0)</f>
        <v>0.0181877088526811</v>
      </c>
      <c r="AA49" s="9" t="n">
        <f aca="false">IF(N(AJ49)&gt;0,1,0)</f>
        <v>1</v>
      </c>
      <c r="AB49" s="17" t="n">
        <f aca="false">Inputs!$C$24+Inputs!$C$25*U49+Inputs!$C$26*V49+Inputs!$C$27*W49+Inputs!$C$28*X49+Inputs!$C$29*Y49+Inputs!$C$30*Z49+Inputs!$C$31*AA49</f>
        <v>-4.12203392867076</v>
      </c>
      <c r="AD49" s="30" t="n">
        <v>20819.873</v>
      </c>
      <c r="AE49" s="30" t="n">
        <v>18230.874</v>
      </c>
      <c r="AF49" s="30" t="n">
        <v>510.207</v>
      </c>
      <c r="AG49" s="30" t="n">
        <v>34.4</v>
      </c>
      <c r="AH49" s="30" t="n">
        <v>1444.626</v>
      </c>
      <c r="AI49" s="30" t="n">
        <v>-1992.205</v>
      </c>
      <c r="AJ49" s="30" t="n">
        <v>2605.623</v>
      </c>
      <c r="AK49" s="30" t="n">
        <v>3059.51</v>
      </c>
      <c r="AL49" s="30" t="n">
        <v>3596.145</v>
      </c>
      <c r="AM49" s="30" t="n">
        <v>8667.07</v>
      </c>
      <c r="AN49" s="30" t="n">
        <v>9728.348</v>
      </c>
      <c r="AO49" s="30" t="n">
        <v>477.492</v>
      </c>
      <c r="AP49" s="30" t="n">
        <v>1430.002</v>
      </c>
      <c r="AQ49" s="30" t="s">
        <v>185</v>
      </c>
      <c r="AR49" s="30" t="s">
        <v>185</v>
      </c>
      <c r="AS49" s="30" t="n">
        <v>1357.81</v>
      </c>
      <c r="AT49" s="30" t="n">
        <v>3489.882</v>
      </c>
      <c r="AU49" s="30" t="s">
        <v>185</v>
      </c>
      <c r="AV49" s="30" t="s">
        <v>185</v>
      </c>
      <c r="AW49" s="30" t="n">
        <v>9252.753</v>
      </c>
      <c r="AX49" s="30" t="n">
        <v>7736.685</v>
      </c>
      <c r="AY49" s="30" t="n">
        <v>264.089</v>
      </c>
      <c r="AZ49" s="30" t="n">
        <v>23.904</v>
      </c>
      <c r="BA49" s="30" t="n">
        <v>732.378</v>
      </c>
      <c r="BB49" s="30" t="n">
        <v>-135.714</v>
      </c>
      <c r="BC49" s="30" t="n">
        <v>1807.506</v>
      </c>
      <c r="BD49" s="30" t="n">
        <v>1502.971</v>
      </c>
      <c r="BE49" s="30" t="n">
        <v>2466.997</v>
      </c>
      <c r="BF49" s="30" t="n">
        <v>4842.355</v>
      </c>
      <c r="BG49" s="30" t="n">
        <v>5405</v>
      </c>
      <c r="BH49" s="30" t="n">
        <v>297.102</v>
      </c>
      <c r="BI49" s="30" t="n">
        <v>725.66</v>
      </c>
      <c r="BJ49" s="30" t="s">
        <v>185</v>
      </c>
      <c r="BK49" s="30" t="s">
        <v>185</v>
      </c>
      <c r="BL49" s="30" t="n">
        <v>1992.089</v>
      </c>
      <c r="BM49" s="30" t="n">
        <v>2327.926</v>
      </c>
      <c r="BN49" s="30" t="n">
        <v>99.322</v>
      </c>
      <c r="BO49" s="30" t="s">
        <v>185</v>
      </c>
      <c r="BP49" s="30" t="n">
        <v>768.167</v>
      </c>
      <c r="BQ49" s="30" t="n">
        <v>6646.275</v>
      </c>
      <c r="BR49" s="30" t="n">
        <v>3074.942</v>
      </c>
      <c r="BS49" s="30" t="n">
        <v>578.377</v>
      </c>
    </row>
    <row r="50" customFormat="false" ht="15" hidden="false" customHeight="false" outlineLevel="0" collapsed="false">
      <c r="B50" s="24" t="n">
        <v>45747</v>
      </c>
      <c r="C50" s="24" t="n">
        <v>45789</v>
      </c>
      <c r="D50" s="25" t="s">
        <v>184</v>
      </c>
      <c r="E50" s="26" t="n">
        <f aca="false">Inputs!$C$13+Inputs!$C$14*M50+Inputs!$C$15*N50+Inputs!$C$16*O50+Inputs!$C$17*P50+Inputs!$C$18*Q50+Inputs!$C$19*R50+Inputs!$C$20*S50+Inputs!$C$21*T50</f>
        <v>-0.912127063502043</v>
      </c>
      <c r="F50" s="26" t="n">
        <f aca="false">EXP(AB50)/(1+EXP(AB50))/Inputs!$C$32</f>
        <v>1.91407117678715</v>
      </c>
      <c r="G50" s="27" t="n">
        <f aca="false">IFERROR((AH50-AI50)/((AN50+BG50)/2),"n/a")</f>
        <v>0.102324508377146</v>
      </c>
      <c r="H50" s="28" t="n">
        <f aca="false">IFERROR(AI50/AH50,"n/a")</f>
        <v>0.128674375121639</v>
      </c>
      <c r="I50" s="29" t="n">
        <f aca="false">IFERROR(AK50/AD50*365,"n/a")</f>
        <v>44.7169893721384</v>
      </c>
      <c r="J50" s="29" t="n">
        <f aca="false">IFERROR(N(AL50)/AE50*365,"n/a")</f>
        <v>73.813784981621</v>
      </c>
      <c r="K50" s="9" t="n">
        <f aca="false">IF(E50&gt;Inputs!$C$7,1,0)</f>
        <v>1</v>
      </c>
      <c r="L50" s="9" t="n">
        <f aca="false">IF(F50&gt;Inputs!$C$8,1,0)</f>
        <v>1</v>
      </c>
      <c r="M50" s="17" t="n">
        <f aca="false">IFERROR((AK50/AD50)/(BD50/AW50),1)</f>
        <v>0.877516777833602</v>
      </c>
      <c r="N50" s="17" t="n">
        <f aca="false">IFERROR(((AW50-AX50)/AW50)/((AD50-AE50)/AD50),1)</f>
        <v>1.41611190513032</v>
      </c>
      <c r="O50" s="17" t="n">
        <f aca="false">IFERROR((1-(AM50+AO50)/AN50)/(1-(BF50+BH50)/BG50),1)</f>
        <v>1.4625441434707</v>
      </c>
      <c r="P50" s="17" t="n">
        <f aca="false">IFERROR(AD50/AW50,1)</f>
        <v>1.82492305315536</v>
      </c>
      <c r="Q50" s="17" t="n">
        <f aca="false">IFERROR((AZ50/(AZ50+BH50))/(AG50/(AG50+AO50)),1)</f>
        <v>0.789458862282393</v>
      </c>
      <c r="R50" s="17" t="n">
        <f aca="false">IFERROR((AF50/AD50)/(AY50/AW50),1)</f>
        <v>0.929466764387118</v>
      </c>
      <c r="S50" s="17" t="n">
        <f aca="false">IFERROR((AH50-AI50)/AN50,0)</f>
        <v>0.0933877790478674</v>
      </c>
      <c r="T50" s="17" t="n">
        <f aca="false">IFERROR(((AS50+N(AU50))/AN50)/((BL50+N(BN50))/BG50),1)</f>
        <v>0.653607603202965</v>
      </c>
      <c r="U50" s="17" t="n">
        <f aca="false">IFERROR((((AM50-AP50-N(AQ50))-(AS50-N(AV50))+(AN50-AM50-N(AR50))-(AT50-AS50-N(AU50))+(N(AQ50)+N(AR50))-(N(AU50)+N(AV50)))-((BF50-BI50-N(BJ50))-(BL50-N(BO50))+(BG50-BF50-N(BK50))-(BM50-BL50-N(BN50))+(N(BJ50)+N(BK50))-(N(BN50)+N(BO50))))/((AN50+BG50)/2),0)</f>
        <v>0.0882286108894986</v>
      </c>
      <c r="V50" s="17" t="n">
        <f aca="false">IFERROR((AK50-BD50)/((AN50+BG50)/2),0)</f>
        <v>0.101258865098071</v>
      </c>
      <c r="W50" s="17" t="n">
        <f aca="false">IFERROR((N(AL50)-N(BE50))/((AN50+BG50)/2),0)</f>
        <v>-0.0259517401544571</v>
      </c>
      <c r="X50" s="17" t="n">
        <f aca="false">IFERROR((AN50-N(AO50)-AP50)/AN50,0)</f>
        <v>0.71796256934728</v>
      </c>
      <c r="Y50" s="17" t="n">
        <f aca="false">IF(COUNT(BP50,BQ50,BR50,BS50)=4,IFERROR((AD50-(AK50-BD50))/(AW50-(BD50-BP50))-1,0),0)</f>
        <v>0.89802696601231</v>
      </c>
      <c r="Z50" s="17" t="n">
        <f aca="false">IF(COUNT(BP50,BQ50,BR50,BS50)=4,IFERROR(AH50/((AN50+BG50)/2)-BA50/((BG50+BR50)/2),0),0)</f>
        <v>-0.0565931784747228</v>
      </c>
      <c r="AA50" s="9" t="n">
        <f aca="false">IF(N(AJ50)&gt;0,1,0)</f>
        <v>1</v>
      </c>
      <c r="AB50" s="17" t="n">
        <f aca="false">Inputs!$C$24+Inputs!$C$25*U50+Inputs!$C$26*V50+Inputs!$C$27*W50+Inputs!$C$28*X50+Inputs!$C$29*Y50+Inputs!$C$30*Z50+Inputs!$C$31*AA50</f>
        <v>-4.9430827193395</v>
      </c>
      <c r="AD50" s="30" t="n">
        <v>21569.72</v>
      </c>
      <c r="AE50" s="30" t="n">
        <v>19137.871</v>
      </c>
      <c r="AF50" s="30" t="n">
        <v>537.96</v>
      </c>
      <c r="AG50" s="30" t="n">
        <v>37.6</v>
      </c>
      <c r="AH50" s="30" t="n">
        <v>1150.944</v>
      </c>
      <c r="AI50" s="30" t="n">
        <v>148.097</v>
      </c>
      <c r="AJ50" s="30" t="n">
        <v>1695.67</v>
      </c>
      <c r="AK50" s="30" t="n">
        <v>2642.556</v>
      </c>
      <c r="AL50" s="30" t="n">
        <v>3870.243</v>
      </c>
      <c r="AM50" s="30" t="n">
        <v>9513.589</v>
      </c>
      <c r="AN50" s="30" t="n">
        <v>10738.525</v>
      </c>
      <c r="AO50" s="30" t="n">
        <v>492.565</v>
      </c>
      <c r="AP50" s="30" t="n">
        <v>2536.101</v>
      </c>
      <c r="AQ50" s="30" t="s">
        <v>185</v>
      </c>
      <c r="AR50" s="30" t="s">
        <v>185</v>
      </c>
      <c r="AS50" s="30" t="n">
        <v>1428.136</v>
      </c>
      <c r="AT50" s="30" t="n">
        <v>4359.046</v>
      </c>
      <c r="AU50" s="30" t="s">
        <v>185</v>
      </c>
      <c r="AV50" s="30" t="s">
        <v>185</v>
      </c>
      <c r="AW50" s="30" t="n">
        <v>11819.523</v>
      </c>
      <c r="AX50" s="30" t="n">
        <v>9932.446</v>
      </c>
      <c r="AY50" s="30" t="n">
        <v>317.155</v>
      </c>
      <c r="AZ50" s="30" t="n">
        <v>22.868</v>
      </c>
      <c r="BA50" s="30" t="n">
        <v>1048.991</v>
      </c>
      <c r="BB50" s="30" t="n">
        <v>-1847.497</v>
      </c>
      <c r="BC50" s="30" t="n">
        <v>2748.384</v>
      </c>
      <c r="BD50" s="30" t="n">
        <v>1650.153</v>
      </c>
      <c r="BE50" s="30" t="n">
        <v>4124.587</v>
      </c>
      <c r="BF50" s="30" t="n">
        <v>8063.932</v>
      </c>
      <c r="BG50" s="30" t="n">
        <v>8862.781</v>
      </c>
      <c r="BH50" s="30" t="n">
        <v>385.566</v>
      </c>
      <c r="BI50" s="30" t="n">
        <v>2115.476</v>
      </c>
      <c r="BJ50" s="30" t="s">
        <v>185</v>
      </c>
      <c r="BK50" s="30" t="s">
        <v>185</v>
      </c>
      <c r="BL50" s="30" t="n">
        <v>1717.695</v>
      </c>
      <c r="BM50" s="30" t="n">
        <v>3768.625</v>
      </c>
      <c r="BN50" s="30" t="n">
        <v>85.646</v>
      </c>
      <c r="BO50" s="30" t="s">
        <v>185</v>
      </c>
      <c r="BP50" s="30" t="n">
        <v>672.055</v>
      </c>
      <c r="BQ50" s="30" t="n">
        <v>6574.081</v>
      </c>
      <c r="BR50" s="30" t="n">
        <v>3192.604</v>
      </c>
      <c r="BS50" s="30" t="n">
        <v>587.251</v>
      </c>
    </row>
    <row r="52" customFormat="false" ht="15" hidden="false" customHeight="false" outlineLevel="0" collapsed="false">
      <c r="B52" s="2" t="s">
        <v>187</v>
      </c>
    </row>
    <row r="53" customFormat="false" ht="15" hidden="false" customHeight="false" outlineLevel="0" collapsed="false">
      <c r="B53" s="2" t="s">
        <v>188</v>
      </c>
    </row>
  </sheetData>
  <conditionalFormatting sqref="K6:L50">
    <cfRule type="cellIs" priority="2" operator="equal" aboveAverage="0" equalAverage="0" bottom="0" percent="0" rank="0" text="" dxfId="0">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S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26"/>
    <col collapsed="false" customWidth="true" hidden="false" outlineLevel="0" max="3" min="3" style="0" width="7"/>
    <col collapsed="false" customWidth="true" hidden="false" outlineLevel="0" max="4" min="4" style="0" width="8"/>
    <col collapsed="false" customWidth="true" hidden="false" outlineLevel="0" max="5" min="5" style="0" width="12"/>
    <col collapsed="false" customWidth="true" hidden="false" outlineLevel="0" max="71" min="6" style="0" width="11"/>
  </cols>
  <sheetData>
    <row r="2" customFormat="false" ht="17.35" hidden="false" customHeight="false" outlineLevel="0" collapsed="false">
      <c r="B2" s="1" t="s">
        <v>189</v>
      </c>
    </row>
    <row r="3" customFormat="false" ht="15" hidden="false" customHeight="false" outlineLevel="0" collapsed="false">
      <c r="B3" s="2" t="s">
        <v>190</v>
      </c>
    </row>
    <row r="5" customFormat="false" ht="54" hidden="false" customHeight="true" outlineLevel="0" collapsed="false">
      <c r="B5" s="11" t="s">
        <v>191</v>
      </c>
      <c r="C5" s="12" t="s">
        <v>192</v>
      </c>
      <c r="D5" s="12" t="s">
        <v>193</v>
      </c>
      <c r="E5" s="12" t="s">
        <v>36</v>
      </c>
      <c r="F5" s="12" t="s">
        <v>194</v>
      </c>
      <c r="G5" s="12" t="s">
        <v>103</v>
      </c>
      <c r="H5" s="12" t="s">
        <v>126</v>
      </c>
      <c r="I5" s="12" t="s">
        <v>131</v>
      </c>
      <c r="J5" s="12" t="s">
        <v>132</v>
      </c>
      <c r="K5" s="12" t="s">
        <v>195</v>
      </c>
      <c r="L5" s="12" t="s">
        <v>196</v>
      </c>
      <c r="M5" s="12" t="s">
        <v>133</v>
      </c>
      <c r="N5" s="12" t="s">
        <v>134</v>
      </c>
      <c r="O5" s="12" t="s">
        <v>135</v>
      </c>
      <c r="P5" s="12" t="s">
        <v>136</v>
      </c>
      <c r="Q5" s="12" t="s">
        <v>137</v>
      </c>
      <c r="R5" s="12" t="s">
        <v>138</v>
      </c>
      <c r="S5" s="12" t="s">
        <v>139</v>
      </c>
      <c r="T5" s="12" t="s">
        <v>140</v>
      </c>
      <c r="U5" s="12" t="s">
        <v>52</v>
      </c>
      <c r="V5" s="12" t="s">
        <v>53</v>
      </c>
      <c r="W5" s="12" t="s">
        <v>54</v>
      </c>
      <c r="X5" s="12" t="s">
        <v>55</v>
      </c>
      <c r="Y5" s="12" t="s">
        <v>56</v>
      </c>
      <c r="Z5" s="12" t="s">
        <v>57</v>
      </c>
      <c r="AA5" s="12" t="s">
        <v>58</v>
      </c>
      <c r="AB5" s="12" t="s">
        <v>141</v>
      </c>
      <c r="AC5" s="12"/>
      <c r="AD5" s="12" t="s">
        <v>142</v>
      </c>
      <c r="AE5" s="12" t="s">
        <v>143</v>
      </c>
      <c r="AF5" s="12" t="s">
        <v>144</v>
      </c>
      <c r="AG5" s="12" t="s">
        <v>145</v>
      </c>
      <c r="AH5" s="12" t="s">
        <v>146</v>
      </c>
      <c r="AI5" s="12" t="s">
        <v>147</v>
      </c>
      <c r="AJ5" s="12" t="s">
        <v>148</v>
      </c>
      <c r="AK5" s="12" t="s">
        <v>149</v>
      </c>
      <c r="AL5" s="12" t="s">
        <v>150</v>
      </c>
      <c r="AM5" s="12" t="s">
        <v>151</v>
      </c>
      <c r="AN5" s="12" t="s">
        <v>152</v>
      </c>
      <c r="AO5" s="12" t="s">
        <v>153</v>
      </c>
      <c r="AP5" s="12" t="s">
        <v>154</v>
      </c>
      <c r="AQ5" s="12" t="s">
        <v>155</v>
      </c>
      <c r="AR5" s="12" t="s">
        <v>156</v>
      </c>
      <c r="AS5" s="12" t="s">
        <v>157</v>
      </c>
      <c r="AT5" s="12" t="s">
        <v>158</v>
      </c>
      <c r="AU5" s="12" t="s">
        <v>159</v>
      </c>
      <c r="AV5" s="12" t="s">
        <v>160</v>
      </c>
      <c r="AW5" s="12" t="s">
        <v>161</v>
      </c>
      <c r="AX5" s="12" t="s">
        <v>162</v>
      </c>
      <c r="AY5" s="12" t="s">
        <v>163</v>
      </c>
      <c r="AZ5" s="12" t="s">
        <v>164</v>
      </c>
      <c r="BA5" s="12" t="s">
        <v>165</v>
      </c>
      <c r="BB5" s="12" t="s">
        <v>166</v>
      </c>
      <c r="BC5" s="12" t="s">
        <v>167</v>
      </c>
      <c r="BD5" s="12" t="s">
        <v>168</v>
      </c>
      <c r="BE5" s="12" t="s">
        <v>169</v>
      </c>
      <c r="BF5" s="12" t="s">
        <v>170</v>
      </c>
      <c r="BG5" s="12" t="s">
        <v>171</v>
      </c>
      <c r="BH5" s="12" t="s">
        <v>172</v>
      </c>
      <c r="BI5" s="12" t="s">
        <v>173</v>
      </c>
      <c r="BJ5" s="12" t="s">
        <v>174</v>
      </c>
      <c r="BK5" s="12" t="s">
        <v>175</v>
      </c>
      <c r="BL5" s="12" t="s">
        <v>176</v>
      </c>
      <c r="BM5" s="12" t="s">
        <v>177</v>
      </c>
      <c r="BN5" s="12" t="s">
        <v>178</v>
      </c>
      <c r="BO5" s="12" t="s">
        <v>179</v>
      </c>
      <c r="BP5" s="12" t="s">
        <v>180</v>
      </c>
      <c r="BQ5" s="12" t="s">
        <v>181</v>
      </c>
      <c r="BR5" s="12" t="s">
        <v>182</v>
      </c>
      <c r="BS5" s="12" t="s">
        <v>183</v>
      </c>
    </row>
    <row r="6" customFormat="false" ht="15" hidden="false" customHeight="false" outlineLevel="0" collapsed="false">
      <c r="B6" s="31" t="s">
        <v>197</v>
      </c>
      <c r="C6" s="31" t="s">
        <v>198</v>
      </c>
      <c r="D6" s="32" t="n">
        <v>2015</v>
      </c>
      <c r="E6" s="24" t="n">
        <v>42257</v>
      </c>
      <c r="F6" s="33" t="n">
        <v>1</v>
      </c>
      <c r="G6" s="26" t="n">
        <f aca="false">Inputs!$C$13+Inputs!$C$14*M6+Inputs!$C$15*N6+Inputs!$C$16*O6+Inputs!$C$17*P6+Inputs!$C$18*Q6+Inputs!$C$19*R6+Inputs!$C$20*S6+Inputs!$C$21*T6</f>
        <v>-1.54004374399483</v>
      </c>
      <c r="H6" s="26" t="n">
        <f aca="false">EXP(AB6)/(1+EXP(AB6))/Inputs!$C$32</f>
        <v>2.38893607491108</v>
      </c>
      <c r="I6" s="9" t="n">
        <f aca="false">IF(AND(F6=1,G6&gt;Inputs!$C$7),1,0)</f>
        <v>1</v>
      </c>
      <c r="J6" s="9" t="n">
        <f aca="false">IF(AND(F6=1,H6&gt;Inputs!$C$8),1,0)</f>
        <v>1</v>
      </c>
      <c r="K6" s="9" t="n">
        <f aca="false">MAX(I6,J6)</f>
        <v>1</v>
      </c>
      <c r="L6" s="9" t="n">
        <f aca="false">I6*J6</f>
        <v>1</v>
      </c>
      <c r="M6" s="17" t="n">
        <f aca="false">IFERROR((AK6/AD6)/(BD6/AW6),1)</f>
        <v>1.1173675514436</v>
      </c>
      <c r="N6" s="17" t="n">
        <f aca="false">IFERROR(((AW6-AX6)/AW6)/((AD6-AE6)/AD6),1)</f>
        <v>0.955839537259414</v>
      </c>
      <c r="O6" s="17" t="n">
        <f aca="false">IFERROR((1-(AM6+AO6)/AN6)/(1-(BF6+BH6)/BG6),1)</f>
        <v>0.774650101146767</v>
      </c>
      <c r="P6" s="17" t="n">
        <f aca="false">IFERROR(AD6/AW6,1)</f>
        <v>1.35711033654534</v>
      </c>
      <c r="Q6" s="17" t="n">
        <f aca="false">IFERROR((AZ6/(AZ6+BH6))/(AG6/(AG6+AO6)),1)</f>
        <v>0.97799815725391</v>
      </c>
      <c r="R6" s="17" t="n">
        <f aca="false">IFERROR((AF6/AD6)/(AY6/AW6),1)</f>
        <v>0.884149612046962</v>
      </c>
      <c r="S6" s="17" t="n">
        <f aca="false">IFERROR((AH6-AI6)/AN6,0)</f>
        <v>0.134426307729153</v>
      </c>
      <c r="T6" s="17" t="n">
        <f aca="false">IFERROR(((AS6+N(AU6))/AN6)/((BL6+N(BN6))/BG6),1)</f>
        <v>1.056828675029</v>
      </c>
      <c r="U6" s="17" t="n">
        <f aca="false">IFERROR((((AM6-AP6-N(AQ6))-(AS6-N(AV6))+(AN6-AM6-N(AR6))-(AT6-AS6-N(AU6))+(N(AQ6)+N(AR6))-(N(AU6)+N(AV6)))-((BF6-BI6-N(BJ6))-(BL6-N(BO6))+(BG6-BF6-N(BK6))-(BM6-BL6-N(BN6))+(N(BJ6)+N(BK6))-(N(BN6)+N(BO6))))/((AN6+BG6)/2),0)</f>
        <v>0.160417022332453</v>
      </c>
      <c r="V6" s="17" t="n">
        <f aca="false">IFERROR((AK6-BD6)/((AN6+BG6)/2),0)</f>
        <v>0.116488011986423</v>
      </c>
      <c r="W6" s="17" t="n">
        <f aca="false">IFERROR((N(AL6)-N(BE6))/((AN6+BG6)/2),0)</f>
        <v>0.15656999979853</v>
      </c>
      <c r="X6" s="17" t="n">
        <f aca="false">IFERROR((AN6-N(AO6)-AP6)/AN6,0)</f>
        <v>0.762820824566507</v>
      </c>
      <c r="Y6" s="17" t="n">
        <f aca="false">IF(COUNT(BP6,BQ6,BR6,BS6)=4,IFERROR((AD6-(AK6-BD6))/(AW6-(BD6-BP6))-1,0),0)</f>
        <v>0.340143638285687</v>
      </c>
      <c r="Z6" s="17" t="n">
        <f aca="false">IF(COUNT(BP6,BQ6,BR6,BS6)=4,IFERROR(AH6/((AN6+BG6)/2)-BA6/((BG6+BR6)/2),0),0)</f>
        <v>0.0321932352556121</v>
      </c>
      <c r="AA6" s="9" t="n">
        <f aca="false">IF(N(AJ6)&gt;0,1,0)</f>
        <v>1</v>
      </c>
      <c r="AB6" s="17" t="n">
        <f aca="false">Inputs!$C$24+Inputs!$C$25*U6+Inputs!$C$26*V6+Inputs!$C$27*W6+Inputs!$C$28*X6+Inputs!$C$29*Y6+Inputs!$C$30*Z6+Inputs!$C$31*AA6</f>
        <v>-4.71969598970976</v>
      </c>
      <c r="AD6" s="30" t="n">
        <v>1991.155</v>
      </c>
      <c r="AE6" s="30" t="n">
        <v>1670.924</v>
      </c>
      <c r="AF6" s="30" t="n">
        <v>73.228</v>
      </c>
      <c r="AG6" s="30" t="n">
        <v>8.133</v>
      </c>
      <c r="AH6" s="30" t="n">
        <v>101.863</v>
      </c>
      <c r="AI6" s="30" t="n">
        <v>-44.636</v>
      </c>
      <c r="AJ6" s="30" t="n">
        <v>84.9</v>
      </c>
      <c r="AK6" s="30" t="n">
        <v>322.594</v>
      </c>
      <c r="AL6" s="30" t="n">
        <v>463.493</v>
      </c>
      <c r="AM6" s="30" t="n">
        <v>914.415</v>
      </c>
      <c r="AN6" s="30" t="n">
        <v>1089.809</v>
      </c>
      <c r="AO6" s="30" t="n">
        <v>163.038</v>
      </c>
      <c r="AP6" s="30" t="n">
        <v>95.442</v>
      </c>
      <c r="AQ6" s="30" t="s">
        <v>185</v>
      </c>
      <c r="AR6" s="30" t="n">
        <v>2.633</v>
      </c>
      <c r="AS6" s="30" t="n">
        <v>454.107</v>
      </c>
      <c r="AT6" s="30" t="n">
        <v>470.724</v>
      </c>
      <c r="AU6" s="30" t="n">
        <v>0.933</v>
      </c>
      <c r="AV6" s="30" t="n">
        <v>93.479</v>
      </c>
      <c r="AW6" s="30" t="n">
        <v>1467.202</v>
      </c>
      <c r="AX6" s="30" t="n">
        <v>1241.657</v>
      </c>
      <c r="AY6" s="30" t="n">
        <v>61.029</v>
      </c>
      <c r="AZ6" s="30" t="n">
        <v>6.364</v>
      </c>
      <c r="BA6" s="30" t="n">
        <v>54.157</v>
      </c>
      <c r="BB6" s="30" t="n">
        <v>6.538</v>
      </c>
      <c r="BC6" s="30" t="n">
        <v>17.354</v>
      </c>
      <c r="BD6" s="30" t="n">
        <v>212.738</v>
      </c>
      <c r="BE6" s="30" t="n">
        <v>315.837</v>
      </c>
      <c r="BF6" s="30" t="n">
        <v>654.081</v>
      </c>
      <c r="BG6" s="30" t="n">
        <v>796.325</v>
      </c>
      <c r="BH6" s="30" t="n">
        <v>130.589</v>
      </c>
      <c r="BI6" s="30" t="n">
        <v>96.872</v>
      </c>
      <c r="BJ6" s="30" t="s">
        <v>185</v>
      </c>
      <c r="BK6" s="30" t="n">
        <v>2.647</v>
      </c>
      <c r="BL6" s="30" t="n">
        <v>310.886</v>
      </c>
      <c r="BM6" s="30" t="n">
        <v>327.094</v>
      </c>
      <c r="BN6" s="30" t="n">
        <v>3.733</v>
      </c>
      <c r="BO6" s="30" t="n">
        <v>42.554</v>
      </c>
      <c r="BP6" s="30" t="n">
        <v>149.34</v>
      </c>
      <c r="BQ6" s="30" t="n">
        <v>1162.561</v>
      </c>
      <c r="BR6" s="30" t="n">
        <v>632.257</v>
      </c>
      <c r="BS6" s="30" t="n">
        <v>21.279</v>
      </c>
    </row>
    <row r="7" customFormat="false" ht="15" hidden="false" customHeight="false" outlineLevel="0" collapsed="false">
      <c r="B7" s="31" t="s">
        <v>197</v>
      </c>
      <c r="C7" s="31" t="s">
        <v>198</v>
      </c>
      <c r="D7" s="32" t="n">
        <v>2016</v>
      </c>
      <c r="E7" s="24" t="n">
        <v>42608</v>
      </c>
      <c r="F7" s="33" t="n">
        <v>1</v>
      </c>
      <c r="G7" s="26" t="n">
        <f aca="false">Inputs!$C$13+Inputs!$C$14*M7+Inputs!$C$15*N7+Inputs!$C$16*O7+Inputs!$C$17*P7+Inputs!$C$18*Q7+Inputs!$C$19*R7+Inputs!$C$20*S7+Inputs!$C$21*T7</f>
        <v>-1.87070518705484</v>
      </c>
      <c r="H7" s="26" t="n">
        <f aca="false">EXP(AB7)/(1+EXP(AB7))/Inputs!$C$32</f>
        <v>1.08319992565689</v>
      </c>
      <c r="I7" s="9" t="n">
        <f aca="false">IF(AND(F7=1,G7&gt;Inputs!$C$7),1,0)</f>
        <v>0</v>
      </c>
      <c r="J7" s="9" t="n">
        <f aca="false">IF(AND(F7=1,H7&gt;Inputs!$C$8),1,0)</f>
        <v>0</v>
      </c>
      <c r="K7" s="9" t="n">
        <f aca="false">MAX(I7,J7)</f>
        <v>0</v>
      </c>
      <c r="L7" s="9" t="n">
        <f aca="false">I7*J7</f>
        <v>0</v>
      </c>
      <c r="M7" s="17" t="n">
        <f aca="false">IFERROR((AK7/AD7)/(BD7/AW7),1)</f>
        <v>0.804955534269345</v>
      </c>
      <c r="N7" s="17" t="n">
        <f aca="false">IFERROR(((AW7-AX7)/AW7)/((AD7-AE7)/AD7),1)</f>
        <v>1.0748010527171</v>
      </c>
      <c r="O7" s="17" t="n">
        <f aca="false">IFERROR((1-(AM7+AO7)/AN7)/(1-(BF7+BH7)/BG7),1)</f>
        <v>3.00023442612082</v>
      </c>
      <c r="P7" s="17" t="n">
        <f aca="false">IFERROR(AD7/AW7,1)</f>
        <v>1.11270744869184</v>
      </c>
      <c r="Q7" s="17" t="n">
        <f aca="false">IFERROR((AZ7/(AZ7+BH7))/(AG7/(AG7+AO7)),1)</f>
        <v>0.719866550365286</v>
      </c>
      <c r="R7" s="17" t="n">
        <f aca="false">IFERROR((AF7/AD7)/(AY7/AW7),1)</f>
        <v>1.23563258408758</v>
      </c>
      <c r="S7" s="17" t="n">
        <f aca="false">IFERROR((AH7-AI7)/AN7,0)</f>
        <v>-0.0304461221688401</v>
      </c>
      <c r="T7" s="17" t="n">
        <f aca="false">IFERROR(((AS7+N(AU7))/AN7)/((BL7+N(BN7))/BG7),1)</f>
        <v>0.829319357810836</v>
      </c>
      <c r="U7" s="17" t="n">
        <f aca="false">IFERROR((((AM7-AP7-N(AQ7))-(AS7-N(AV7))+(AN7-AM7-N(AR7))-(AT7-AS7-N(AU7))+(N(AQ7)+N(AR7))-(N(AU7)+N(AV7)))-((BF7-BI7-N(BJ7))-(BL7-N(BO7))+(BG7-BF7-N(BK7))-(BM7-BL7-N(BN7))+(N(BJ7)+N(BK7))-(N(BN7)+N(BO7))))/((AN7+BG7)/2),0)</f>
        <v>0.0148726904964909</v>
      </c>
      <c r="V7" s="17" t="n">
        <f aca="false">IFERROR((AK7-BD7)/((AN7+BG7)/2),0)</f>
        <v>-0.0298420375195807</v>
      </c>
      <c r="W7" s="17" t="n">
        <f aca="false">IFERROR((N(AL7)-N(BE7))/((AN7+BG7)/2),0)</f>
        <v>-0.0128695061516558</v>
      </c>
      <c r="X7" s="17" t="n">
        <f aca="false">IFERROR((AN7-N(AO7)-AP7)/AN7,0)</f>
        <v>0.683499485243651</v>
      </c>
      <c r="Y7" s="17" t="n">
        <f aca="false">IF(COUNT(BP7,BQ7,BR7,BS7)=4,IFERROR((AD7-(AK7-BD7))/(AW7-(BD7-BP7))-1,0),0)</f>
        <v>0.195570720018455</v>
      </c>
      <c r="Z7" s="17" t="n">
        <f aca="false">IF(COUNT(BP7,BQ7,BR7,BS7)=4,IFERROR(AH7/((AN7+BG7)/2)-BA7/((BG7+BR7)/2),0),0)</f>
        <v>-0.0441473393108346</v>
      </c>
      <c r="AA7" s="9" t="n">
        <f aca="false">IF(N(AJ7)&gt;0,1,0)</f>
        <v>1</v>
      </c>
      <c r="AB7" s="17" t="n">
        <f aca="false">Inputs!$C$24+Inputs!$C$25*U7+Inputs!$C$26*V7+Inputs!$C$27*W7+Inputs!$C$28*X7+Inputs!$C$29*Y7+Inputs!$C$30*Z7+Inputs!$C$31*AA7</f>
        <v>-5.51548701215066</v>
      </c>
      <c r="AD7" s="30" t="n">
        <v>2215.573</v>
      </c>
      <c r="AE7" s="30" t="n">
        <v>1884.048</v>
      </c>
      <c r="AF7" s="30" t="n">
        <v>100.681</v>
      </c>
      <c r="AG7" s="30" t="n">
        <v>13.282</v>
      </c>
      <c r="AH7" s="30" t="n">
        <v>72.021</v>
      </c>
      <c r="AI7" s="30" t="n">
        <v>107.509</v>
      </c>
      <c r="AJ7" s="30" t="n">
        <v>34.2</v>
      </c>
      <c r="AK7" s="30" t="n">
        <v>288.941</v>
      </c>
      <c r="AL7" s="30" t="n">
        <v>448.98</v>
      </c>
      <c r="AM7" s="30" t="n">
        <v>938.002</v>
      </c>
      <c r="AN7" s="30" t="n">
        <v>1165.6</v>
      </c>
      <c r="AO7" s="30" t="n">
        <v>187.949</v>
      </c>
      <c r="AP7" s="30" t="n">
        <v>180.964</v>
      </c>
      <c r="AQ7" s="30" t="s">
        <v>185</v>
      </c>
      <c r="AR7" s="30" t="n">
        <v>2.643</v>
      </c>
      <c r="AS7" s="30" t="n">
        <v>363.618</v>
      </c>
      <c r="AT7" s="30" t="n">
        <v>444.221</v>
      </c>
      <c r="AU7" s="30" t="n">
        <v>40</v>
      </c>
      <c r="AV7" s="30" t="n">
        <v>53.589</v>
      </c>
      <c r="AW7" s="30" t="n">
        <v>1991.155</v>
      </c>
      <c r="AX7" s="30" t="n">
        <v>1670.924</v>
      </c>
      <c r="AY7" s="30" t="n">
        <v>73.228</v>
      </c>
      <c r="AZ7" s="30" t="n">
        <v>8.133</v>
      </c>
      <c r="BA7" s="30" t="n">
        <v>101.863</v>
      </c>
      <c r="BB7" s="30" t="n">
        <v>-44.636</v>
      </c>
      <c r="BC7" s="30" t="n">
        <v>84.9</v>
      </c>
      <c r="BD7" s="30" t="n">
        <v>322.594</v>
      </c>
      <c r="BE7" s="30" t="n">
        <v>463.493</v>
      </c>
      <c r="BF7" s="30" t="n">
        <v>914.415</v>
      </c>
      <c r="BG7" s="30" t="n">
        <v>1089.809</v>
      </c>
      <c r="BH7" s="30" t="n">
        <v>163.038</v>
      </c>
      <c r="BI7" s="30" t="n">
        <v>95.442</v>
      </c>
      <c r="BJ7" s="30" t="s">
        <v>185</v>
      </c>
      <c r="BK7" s="30" t="n">
        <v>2.633</v>
      </c>
      <c r="BL7" s="30" t="n">
        <v>454.107</v>
      </c>
      <c r="BM7" s="30" t="n">
        <v>470.724</v>
      </c>
      <c r="BN7" s="30" t="n">
        <v>0.933</v>
      </c>
      <c r="BO7" s="30" t="n">
        <v>93.479</v>
      </c>
      <c r="BP7" s="30" t="n">
        <v>212.738</v>
      </c>
      <c r="BQ7" s="30" t="n">
        <v>1467.202</v>
      </c>
      <c r="BR7" s="30" t="n">
        <v>796.325</v>
      </c>
      <c r="BS7" s="30" t="n">
        <v>54.157</v>
      </c>
    </row>
    <row r="8" customFormat="false" ht="15" hidden="false" customHeight="false" outlineLevel="0" collapsed="false">
      <c r="B8" s="31" t="s">
        <v>197</v>
      </c>
      <c r="C8" s="31" t="s">
        <v>198</v>
      </c>
      <c r="D8" s="32" t="n">
        <v>2017</v>
      </c>
      <c r="E8" s="24" t="n">
        <v>43602</v>
      </c>
      <c r="F8" s="33" t="n">
        <v>1</v>
      </c>
      <c r="G8" s="26" t="n">
        <f aca="false">Inputs!$C$13+Inputs!$C$14*M8+Inputs!$C$15*N8+Inputs!$C$16*O8+Inputs!$C$17*P8+Inputs!$C$18*Q8+Inputs!$C$19*R8+Inputs!$C$20*S8+Inputs!$C$21*T8</f>
        <v>-1.34013599042496</v>
      </c>
      <c r="H8" s="26" t="n">
        <f aca="false">EXP(AB8)/(1+EXP(AB8))/Inputs!$C$32</f>
        <v>2.39062886999784</v>
      </c>
      <c r="I8" s="9" t="n">
        <f aca="false">IF(AND(F8=1,G8&gt;Inputs!$C$7),1,0)</f>
        <v>1</v>
      </c>
      <c r="J8" s="9" t="n">
        <f aca="false">IF(AND(F8=1,H8&gt;Inputs!$C$8),1,0)</f>
        <v>1</v>
      </c>
      <c r="K8" s="9" t="n">
        <f aca="false">MAX(I8,J8)</f>
        <v>1</v>
      </c>
      <c r="L8" s="9" t="n">
        <f aca="false">I8*J8</f>
        <v>1</v>
      </c>
      <c r="M8" s="17" t="n">
        <f aca="false">IFERROR((AK8/AD8)/(BD8/AW8),1)</f>
        <v>1.65843690193575</v>
      </c>
      <c r="N8" s="17" t="n">
        <f aca="false">IFERROR(((AW8-AX8)/AW8)/((AD8-AE8)/AD8),1)</f>
        <v>1.0547184109243</v>
      </c>
      <c r="O8" s="17" t="n">
        <f aca="false">IFERROR((1-(AM8+AO8)/AN8)/(1-(BF8+BH8)/BG8),1)</f>
        <v>0.933132874244897</v>
      </c>
      <c r="P8" s="17" t="n">
        <f aca="false">IFERROR(AD8/AW8,1)</f>
        <v>1.11681097984649</v>
      </c>
      <c r="Q8" s="17" t="n">
        <f aca="false">IFERROR((AZ8/(AZ8+BH8))/(AG8/(AG8+AO8)),1)</f>
        <v>0.855191789431203</v>
      </c>
      <c r="R8" s="17" t="n">
        <f aca="false">IFERROR((AF8/AD8)/(AY8/AW8),1)</f>
        <v>1.00693028767801</v>
      </c>
      <c r="S8" s="17" t="n">
        <f aca="false">IFERROR((AH8-AI8)/AN8,0)</f>
        <v>0.107609248051322</v>
      </c>
      <c r="T8" s="17" t="n">
        <f aca="false">IFERROR(((AS8+N(AU8))/AN8)/((BL8+N(BN8))/BG8),1)</f>
        <v>1.17623564014678</v>
      </c>
      <c r="U8" s="17" t="n">
        <f aca="false">IFERROR((((AM8-AP8-N(AQ8))-(AS8-N(AV8))+(AN8-AM8-N(AR8))-(AT8-AS8-N(AU8))+(N(AQ8)+N(AR8))-(N(AU8)+N(AV8)))-((BF8-BI8-N(BJ8))-(BL8-N(BO8))+(BG8-BF8-N(BK8))-(BM8-BL8-N(BN8))+(N(BJ8)+N(BK8))-(N(BN8)+N(BO8))))/((AN8+BG8)/2),0)</f>
        <v>0.107445726448517</v>
      </c>
      <c r="V8" s="17" t="n">
        <f aca="false">IFERROR((AK8-BD8)/((AN8+BG8)/2),0)</f>
        <v>0.110153169293135</v>
      </c>
      <c r="W8" s="17" t="n">
        <f aca="false">IFERROR((N(AL8)-N(BE8))/((AN8+BG8)/2),0)</f>
        <v>0.162462088226134</v>
      </c>
      <c r="X8" s="17" t="n">
        <f aca="false">IFERROR((AN8-N(AO8)-AP8)/AN8,0)</f>
        <v>0.797917010421548</v>
      </c>
      <c r="Y8" s="17" t="n">
        <f aca="false">IF(COUNT(BP8,BQ8,BR8,BS8)=4,IFERROR((AD8-(AK8-BD8))/(AW8-(BD8-BP8))-1,0),0)</f>
        <v>-0.0155204045378164</v>
      </c>
      <c r="Z8" s="17" t="n">
        <f aca="false">IF(COUNT(BP8,BQ8,BR8,BS8)=4,IFERROR(AH8/((AN8+BG8)/2)-BA8/((BG8+BR8)/2),0),0)</f>
        <v>-0.0137926510420228</v>
      </c>
      <c r="AA8" s="9" t="n">
        <f aca="false">IF(N(AJ8)&gt;0,1,0)</f>
        <v>1</v>
      </c>
      <c r="AB8" s="17" t="n">
        <f aca="false">Inputs!$C$24+Inputs!$C$25*U8+Inputs!$C$26*V8+Inputs!$C$27*W8+Inputs!$C$28*X8+Inputs!$C$29*Y8+Inputs!$C$30*Z8+Inputs!$C$31*AA8</f>
        <v>-4.71898132352879</v>
      </c>
      <c r="AD8" s="30" t="n">
        <v>2484.929</v>
      </c>
      <c r="AE8" s="30" t="n">
        <v>2134.971</v>
      </c>
      <c r="AF8" s="30" t="n">
        <v>111.091</v>
      </c>
      <c r="AG8" s="30" t="n">
        <v>16.357</v>
      </c>
      <c r="AH8" s="30" t="n">
        <v>66.854</v>
      </c>
      <c r="AI8" s="30" t="n">
        <v>-96.188</v>
      </c>
      <c r="AJ8" s="30" t="n">
        <v>207.029</v>
      </c>
      <c r="AK8" s="30" t="n">
        <v>324.004</v>
      </c>
      <c r="AL8" s="30" t="n">
        <v>736.668</v>
      </c>
      <c r="AM8" s="30" t="n">
        <v>1261.166</v>
      </c>
      <c r="AN8" s="30" t="n">
        <v>1515.13</v>
      </c>
      <c r="AO8" s="30" t="n">
        <v>195.576</v>
      </c>
      <c r="AP8" s="30" t="n">
        <v>110.606</v>
      </c>
      <c r="AQ8" s="30" t="s">
        <v>185</v>
      </c>
      <c r="AR8" s="30" t="n">
        <v>2.625</v>
      </c>
      <c r="AS8" s="30" t="n">
        <v>672.53</v>
      </c>
      <c r="AT8" s="30" t="n">
        <v>741.284</v>
      </c>
      <c r="AU8" s="30" t="n">
        <v>0</v>
      </c>
      <c r="AV8" s="30" t="n">
        <v>161.447</v>
      </c>
      <c r="AW8" s="30" t="n">
        <v>2225.022</v>
      </c>
      <c r="AX8" s="30" t="n">
        <v>1894.521</v>
      </c>
      <c r="AY8" s="30" t="n">
        <v>98.787</v>
      </c>
      <c r="AZ8" s="30" t="n">
        <v>13.282</v>
      </c>
      <c r="BA8" s="30" t="n">
        <v>72.081</v>
      </c>
      <c r="BB8" s="30" t="n">
        <v>107.987</v>
      </c>
      <c r="BC8" s="30" t="n">
        <v>34.2</v>
      </c>
      <c r="BD8" s="30" t="n">
        <v>174.933</v>
      </c>
      <c r="BE8" s="30" t="n">
        <v>516.807</v>
      </c>
      <c r="BF8" s="30" t="n">
        <v>954.328</v>
      </c>
      <c r="BG8" s="30" t="n">
        <v>1191.483</v>
      </c>
      <c r="BH8" s="30" t="n">
        <v>187.949</v>
      </c>
      <c r="BI8" s="30" t="n">
        <v>178.82</v>
      </c>
      <c r="BJ8" s="30" t="s">
        <v>185</v>
      </c>
      <c r="BK8" s="30" t="n">
        <v>2.643</v>
      </c>
      <c r="BL8" s="30" t="n">
        <v>409.63</v>
      </c>
      <c r="BM8" s="30" t="n">
        <v>494.83</v>
      </c>
      <c r="BN8" s="30" t="n">
        <v>40</v>
      </c>
      <c r="BO8" s="30" t="n">
        <v>53.589</v>
      </c>
      <c r="BP8" s="30" t="n">
        <v>322.594</v>
      </c>
      <c r="BQ8" s="30" t="n">
        <v>1954.353</v>
      </c>
      <c r="BR8" s="30" t="n">
        <v>1089.809</v>
      </c>
      <c r="BS8" s="30" t="n">
        <v>92.555</v>
      </c>
    </row>
    <row r="9" customFormat="false" ht="15" hidden="false" customHeight="false" outlineLevel="0" collapsed="false">
      <c r="B9" s="31" t="s">
        <v>199</v>
      </c>
      <c r="C9" s="31" t="s">
        <v>200</v>
      </c>
      <c r="D9" s="32" t="n">
        <v>2013</v>
      </c>
      <c r="E9" s="24" t="n">
        <v>41702</v>
      </c>
      <c r="F9" s="33" t="n">
        <v>1</v>
      </c>
      <c r="G9" s="26" t="n">
        <f aca="false">Inputs!$C$13+Inputs!$C$14*M9+Inputs!$C$15*N9+Inputs!$C$16*O9+Inputs!$C$17*P9+Inputs!$C$18*Q9+Inputs!$C$19*R9+Inputs!$C$20*S9+Inputs!$C$21*T9</f>
        <v>-1.62179231691177</v>
      </c>
      <c r="H9" s="26" t="n">
        <f aca="false">EXP(AB9)/(1+EXP(AB9))/Inputs!$C$32</f>
        <v>1.27251061543594</v>
      </c>
      <c r="I9" s="9" t="n">
        <f aca="false">IF(AND(F9=1,G9&gt;Inputs!$C$7),1,0)</f>
        <v>1</v>
      </c>
      <c r="J9" s="9" t="n">
        <f aca="false">IF(AND(F9=1,H9&gt;Inputs!$C$8),1,0)</f>
        <v>0</v>
      </c>
      <c r="K9" s="9" t="n">
        <f aca="false">MAX(I9,J9)</f>
        <v>1</v>
      </c>
      <c r="L9" s="9" t="n">
        <f aca="false">I9*J9</f>
        <v>0</v>
      </c>
      <c r="M9" s="17" t="n">
        <f aca="false">IFERROR((AK9/AD9)/(BD9/AW9),1)</f>
        <v>0.96120613024769</v>
      </c>
      <c r="N9" s="17" t="n">
        <f aca="false">IFERROR(((AW9-AX9)/AW9)/((AD9-AE9)/AD9),1)</f>
        <v>0.959448891354207</v>
      </c>
      <c r="O9" s="17" t="n">
        <f aca="false">IFERROR((1-(AM9+AO9)/AN9)/(1-(BF9+BH9)/BG9),1)</f>
        <v>0.394585003428112</v>
      </c>
      <c r="P9" s="17" t="n">
        <f aca="false">IFERROR(AD9/AW9,1)</f>
        <v>2.18752238366161</v>
      </c>
      <c r="Q9" s="17" t="n">
        <f aca="false">IFERROR((AZ9/(AZ9+BH9))/(AG9/(AG9+AO9)),1)</f>
        <v>2.24422900093652</v>
      </c>
      <c r="R9" s="17" t="n">
        <f aca="false">IFERROR((AF9/AD9)/(AY9/AW9),1)</f>
        <v>1.07866419607939</v>
      </c>
      <c r="S9" s="17" t="n">
        <f aca="false">IFERROR((AH9-AI9)/AN9,0)</f>
        <v>-0.0451788891083328</v>
      </c>
      <c r="T9" s="17" t="n">
        <f aca="false">IFERROR(((AS9+N(AU9))/AN9)/((BL9+N(BN9))/BG9),1)</f>
        <v>0.442010245351486</v>
      </c>
      <c r="U9" s="17" t="n">
        <f aca="false">IFERROR((((AM9-AP9-N(AQ9))-(AS9-N(AV9))+(AN9-AM9-N(AR9))-(AT9-AS9-N(AU9))+(N(AQ9)+N(AR9))-(N(AU9)+N(AV9)))-((BF9-BI9-N(BJ9))-(BL9-N(BO9))+(BG9-BF9-N(BK9))-(BM9-BL9-N(BN9))+(N(BJ9)+N(BK9))-(N(BN9)+N(BO9))))/((AN9+BG9)/2),0)</f>
        <v>0.270903836273967</v>
      </c>
      <c r="V9" s="17" t="n">
        <f aca="false">IFERROR((AK9-BD9)/((AN9+BG9)/2),0)</f>
        <v>0.140799488300046</v>
      </c>
      <c r="W9" s="17" t="n">
        <f aca="false">IFERROR((N(AL9)-N(BE9))/((AN9+BG9)/2),0)</f>
        <v>0.0143145986551609</v>
      </c>
      <c r="X9" s="17" t="n">
        <f aca="false">IFERROR((AN9-N(AO9)-AP9)/AN9,0)</f>
        <v>0.431318418672761</v>
      </c>
      <c r="Y9" s="17" t="n">
        <f aca="false">IF(COUNT(BP9,BQ9,BR9,BS9)=4,IFERROR((AD9-(AK9-BD9))/(AW9-(BD9-BP9))-1,0),0)</f>
        <v>1.38310852962533</v>
      </c>
      <c r="Z9" s="17" t="n">
        <f aca="false">IF(COUNT(BP9,BQ9,BR9,BS9)=4,IFERROR(AH9/((AN9+BG9)/2)-BA9/((BG9+BR9)/2),0),0)</f>
        <v>0.177465426891576</v>
      </c>
      <c r="AA9" s="9" t="n">
        <f aca="false">IF(N(AJ9)&gt;0,1,0)</f>
        <v>1</v>
      </c>
      <c r="AB9" s="17" t="n">
        <f aca="false">Inputs!$C$24+Inputs!$C$25*U9+Inputs!$C$26*V9+Inputs!$C$27*W9+Inputs!$C$28*X9+Inputs!$C$29*Y9+Inputs!$C$30*Z9+Inputs!$C$31*AA9</f>
        <v>-5.35371123954938</v>
      </c>
      <c r="AD9" s="30" t="n">
        <v>59.180734</v>
      </c>
      <c r="AE9" s="30" t="n">
        <v>9.328114</v>
      </c>
      <c r="AF9" s="30" t="n">
        <v>46.225657</v>
      </c>
      <c r="AG9" s="30" t="n">
        <v>0.637246</v>
      </c>
      <c r="AH9" s="30" t="n">
        <v>-4.111853</v>
      </c>
      <c r="AI9" s="30" t="n">
        <v>-0.285477</v>
      </c>
      <c r="AJ9" s="30" t="n">
        <v>36.602306</v>
      </c>
      <c r="AK9" s="30" t="n">
        <v>16.092836</v>
      </c>
      <c r="AL9" s="30" t="n">
        <v>3.880776</v>
      </c>
      <c r="AM9" s="30" t="n">
        <v>65.388771</v>
      </c>
      <c r="AN9" s="30" t="n">
        <v>84.693893</v>
      </c>
      <c r="AO9" s="30" t="n">
        <v>4.086106</v>
      </c>
      <c r="AP9" s="30" t="n">
        <v>44.077751</v>
      </c>
      <c r="AQ9" s="30" t="s">
        <v>185</v>
      </c>
      <c r="AR9" s="30" t="s">
        <v>185</v>
      </c>
      <c r="AS9" s="30" t="n">
        <v>9.607867</v>
      </c>
      <c r="AT9" s="30" t="n">
        <v>11.125823</v>
      </c>
      <c r="AU9" s="30" t="n">
        <v>0</v>
      </c>
      <c r="AV9" s="30" t="s">
        <v>185</v>
      </c>
      <c r="AW9" s="30" t="n">
        <v>27.053773</v>
      </c>
      <c r="AX9" s="30" t="n">
        <v>5.188378</v>
      </c>
      <c r="AY9" s="30" t="n">
        <v>19.590446</v>
      </c>
      <c r="AZ9" s="30" t="n">
        <v>0.465367</v>
      </c>
      <c r="BA9" s="30" t="n">
        <v>-7.662376</v>
      </c>
      <c r="BB9" s="30" t="n">
        <v>-3.33126</v>
      </c>
      <c r="BC9" s="30" t="n">
        <v>0</v>
      </c>
      <c r="BD9" s="30" t="n">
        <v>7.653561</v>
      </c>
      <c r="BE9" s="30" t="n">
        <v>3.022784</v>
      </c>
      <c r="BF9" s="30" t="n">
        <v>18.088791</v>
      </c>
      <c r="BG9" s="30" t="n">
        <v>35.182608</v>
      </c>
      <c r="BH9" s="30" t="n">
        <v>1.071625</v>
      </c>
      <c r="BI9" s="30" t="n">
        <v>6.754485</v>
      </c>
      <c r="BJ9" s="30" t="s">
        <v>185</v>
      </c>
      <c r="BK9" s="30" t="s">
        <v>185</v>
      </c>
      <c r="BL9" s="30" t="n">
        <v>5.017201</v>
      </c>
      <c r="BM9" s="30" t="n">
        <v>15.175306</v>
      </c>
      <c r="BN9" s="30" t="n">
        <v>4.012442</v>
      </c>
      <c r="BO9" s="30" t="n">
        <v>0</v>
      </c>
      <c r="BP9" s="30" t="n">
        <v>1.891919</v>
      </c>
      <c r="BQ9" s="30" t="n">
        <v>7.760446</v>
      </c>
      <c r="BR9" s="30" t="n">
        <v>27.096192</v>
      </c>
      <c r="BS9" s="30" t="n">
        <v>-10.193986</v>
      </c>
    </row>
    <row r="10" customFormat="false" ht="15" hidden="false" customHeight="false" outlineLevel="0" collapsed="false">
      <c r="B10" s="31" t="s">
        <v>199</v>
      </c>
      <c r="C10" s="31" t="s">
        <v>200</v>
      </c>
      <c r="D10" s="32" t="n">
        <v>2014</v>
      </c>
      <c r="E10" s="24" t="n">
        <v>42076</v>
      </c>
      <c r="F10" s="33" t="n">
        <v>1</v>
      </c>
      <c r="G10" s="26" t="n">
        <f aca="false">Inputs!$C$13+Inputs!$C$14*M10+Inputs!$C$15*N10+Inputs!$C$16*O10+Inputs!$C$17*P10+Inputs!$C$18*Q10+Inputs!$C$19*R10+Inputs!$C$20*S10+Inputs!$C$21*T10</f>
        <v>-2.44464082379118</v>
      </c>
      <c r="H10" s="26" t="n">
        <f aca="false">EXP(AB10)/(1+EXP(AB10))/Inputs!$C$32</f>
        <v>0.452689195676714</v>
      </c>
      <c r="I10" s="9" t="n">
        <f aca="false">IF(AND(F10=1,G10&gt;Inputs!$C$7),1,0)</f>
        <v>0</v>
      </c>
      <c r="J10" s="9" t="n">
        <f aca="false">IF(AND(F10=1,H10&gt;Inputs!$C$8),1,0)</f>
        <v>0</v>
      </c>
      <c r="K10" s="9" t="n">
        <f aca="false">MAX(I10,J10)</f>
        <v>0</v>
      </c>
      <c r="L10" s="9" t="n">
        <f aca="false">I10*J10</f>
        <v>0</v>
      </c>
      <c r="M10" s="17" t="n">
        <f aca="false">IFERROR((AK10/AD10)/(BD10/AW10),1)</f>
        <v>0.829657597956353</v>
      </c>
      <c r="N10" s="17" t="n">
        <f aca="false">IFERROR(((AW10-AX10)/AW10)/((AD10-AE10)/AD10),1)</f>
        <v>0.943452025649141</v>
      </c>
      <c r="O10" s="17" t="n">
        <f aca="false">IFERROR((1-(AM10+AO10)/AN10)/(1-(BF10+BH10)/BG10),1)</f>
        <v>0.923691327713867</v>
      </c>
      <c r="P10" s="17" t="n">
        <f aca="false">IFERROR(AD10/AW10,1)</f>
        <v>1.99765127321269</v>
      </c>
      <c r="Q10" s="17" t="n">
        <f aca="false">IFERROR((AZ10/(AZ10+BH10))/(AG10/(AG10+AO10)),1)</f>
        <v>0.748612302865287</v>
      </c>
      <c r="R10" s="17" t="n">
        <f aca="false">IFERROR((AF10/AD10)/(AY10/AW10),1)</f>
        <v>0.979799482231142</v>
      </c>
      <c r="S10" s="17" t="n">
        <f aca="false">IFERROR((AH10-AI10)/AN10,0)</f>
        <v>-0.0968524332091636</v>
      </c>
      <c r="T10" s="17" t="n">
        <f aca="false">IFERROR(((AS10+N(AU10))/AN10)/((BL10+N(BN10))/BG10),1)</f>
        <v>1.48482288824455</v>
      </c>
      <c r="U10" s="17" t="n">
        <f aca="false">IFERROR((((AM10-AP10-N(AQ10))-(AS10-N(AV10))+(AN10-AM10-N(AR10))-(AT10-AS10-N(AU10))+(N(AQ10)+N(AR10))-(N(AU10)+N(AV10)))-((BF10-BI10-N(BJ10))-(BL10-N(BO10))+(BG10-BF10-N(BK10))-(BM10-BL10-N(BN10))+(N(BJ10)+N(BK10))-(N(BN10)+N(BO10))))/((AN10+BG10)/2),0)</f>
        <v>0.136703221914588</v>
      </c>
      <c r="V10" s="17" t="n">
        <f aca="false">IFERROR((AK10-BD10)/((AN10+BG10)/2),0)</f>
        <v>0.109088284275056</v>
      </c>
      <c r="W10" s="17" t="n">
        <f aca="false">IFERROR((N(AL10)-N(BE10))/((AN10+BG10)/2),0)</f>
        <v>0.0129103442586606</v>
      </c>
      <c r="X10" s="17" t="n">
        <f aca="false">IFERROR((AN10-N(AO10)-AP10)/AN10,0)</f>
        <v>0.523801242918204</v>
      </c>
      <c r="Y10" s="17" t="n">
        <f aca="false">IF(COUNT(BP10,BQ10,BR10,BS10)=4,IFERROR((AD10-(AK10-BD10))/(AW10-(BD10-BP10))-1,0),0)</f>
        <v>1.12141680071687</v>
      </c>
      <c r="Z10" s="17" t="n">
        <f aca="false">IF(COUNT(BP10,BQ10,BR10,BS10)=4,IFERROR(AH10/((AN10+BG10)/2)-BA10/((BG10+BR10)/2),0),0)</f>
        <v>0.132743126643379</v>
      </c>
      <c r="AA10" s="9" t="n">
        <f aca="false">IF(N(AJ10)&gt;0,1,0)</f>
        <v>0</v>
      </c>
      <c r="AB10" s="17" t="n">
        <f aca="false">Inputs!$C$24+Inputs!$C$25*U10+Inputs!$C$26*V10+Inputs!$C$27*W10+Inputs!$C$28*X10+Inputs!$C$29*Y10+Inputs!$C$30*Z10+Inputs!$C$31*AA10</f>
        <v>-6.39029559624474</v>
      </c>
      <c r="AD10" s="30" t="n">
        <v>118.223</v>
      </c>
      <c r="AE10" s="30" t="n">
        <v>12.665</v>
      </c>
      <c r="AF10" s="30" t="n">
        <v>90.48</v>
      </c>
      <c r="AG10" s="30" t="n">
        <v>1.197</v>
      </c>
      <c r="AH10" s="30" t="n">
        <v>6.22</v>
      </c>
      <c r="AI10" s="30" t="n">
        <v>16.802</v>
      </c>
      <c r="AJ10" s="30" t="n">
        <v>0</v>
      </c>
      <c r="AK10" s="30" t="n">
        <v>26.672</v>
      </c>
      <c r="AL10" s="30" t="n">
        <v>5.133</v>
      </c>
      <c r="AM10" s="30" t="n">
        <v>85.677</v>
      </c>
      <c r="AN10" s="30" t="n">
        <v>109.259</v>
      </c>
      <c r="AO10" s="30" t="n">
        <v>5.447</v>
      </c>
      <c r="AP10" s="30" t="n">
        <v>46.582</v>
      </c>
      <c r="AQ10" s="30" t="n">
        <v>5.75</v>
      </c>
      <c r="AR10" s="30" t="s">
        <v>185</v>
      </c>
      <c r="AS10" s="30" t="n">
        <v>18.404</v>
      </c>
      <c r="AT10" s="30" t="n">
        <v>19.93</v>
      </c>
      <c r="AU10" s="30" t="s">
        <v>185</v>
      </c>
      <c r="AV10" s="30" t="s">
        <v>185</v>
      </c>
      <c r="AW10" s="30" t="n">
        <v>59.181</v>
      </c>
      <c r="AX10" s="30" t="n">
        <v>9.328</v>
      </c>
      <c r="AY10" s="30" t="n">
        <v>46.227</v>
      </c>
      <c r="AZ10" s="30" t="n">
        <v>0.637</v>
      </c>
      <c r="BA10" s="30" t="n">
        <v>-4.112</v>
      </c>
      <c r="BB10" s="30" t="n">
        <v>-0.284</v>
      </c>
      <c r="BC10" s="30" t="n">
        <v>36.602</v>
      </c>
      <c r="BD10" s="30" t="n">
        <v>16.093</v>
      </c>
      <c r="BE10" s="30" t="n">
        <v>3.881</v>
      </c>
      <c r="BF10" s="30" t="n">
        <v>65.389</v>
      </c>
      <c r="BG10" s="30" t="n">
        <v>84.694</v>
      </c>
      <c r="BH10" s="30" t="n">
        <v>4.086</v>
      </c>
      <c r="BI10" s="30" t="n">
        <v>44.078</v>
      </c>
      <c r="BJ10" s="30" t="n">
        <v>0</v>
      </c>
      <c r="BK10" s="30" t="s">
        <v>185</v>
      </c>
      <c r="BL10" s="30" t="n">
        <v>9.608</v>
      </c>
      <c r="BM10" s="30" t="n">
        <v>11.126</v>
      </c>
      <c r="BN10" s="30" t="n">
        <v>0</v>
      </c>
      <c r="BO10" s="30" t="s">
        <v>185</v>
      </c>
      <c r="BP10" s="30" t="n">
        <v>7.653561</v>
      </c>
      <c r="BQ10" s="30" t="n">
        <v>27.053</v>
      </c>
      <c r="BR10" s="30" t="n">
        <v>35.182608</v>
      </c>
      <c r="BS10" s="30" t="n">
        <v>-7.663</v>
      </c>
    </row>
    <row r="11" customFormat="false" ht="15" hidden="false" customHeight="false" outlineLevel="0" collapsed="false">
      <c r="B11" s="31" t="s">
        <v>199</v>
      </c>
      <c r="C11" s="31" t="s">
        <v>200</v>
      </c>
      <c r="D11" s="32" t="n">
        <v>2015</v>
      </c>
      <c r="E11" s="24" t="n">
        <v>42429</v>
      </c>
      <c r="F11" s="33" t="n">
        <v>1</v>
      </c>
      <c r="G11" s="26" t="n">
        <f aca="false">Inputs!$C$13+Inputs!$C$14*M11+Inputs!$C$15*N11+Inputs!$C$16*O11+Inputs!$C$17*P11+Inputs!$C$18*Q11+Inputs!$C$19*R11+Inputs!$C$20*S11+Inputs!$C$21*T11</f>
        <v>-1.23489649472286</v>
      </c>
      <c r="H11" s="26" t="n">
        <f aca="false">EXP(AB11)/(1+EXP(AB11))/Inputs!$C$32</f>
        <v>0.873397663343519</v>
      </c>
      <c r="I11" s="9" t="n">
        <f aca="false">IF(AND(F11=1,G11&gt;Inputs!$C$7),1,0)</f>
        <v>1</v>
      </c>
      <c r="J11" s="9" t="n">
        <f aca="false">IF(AND(F11=1,H11&gt;Inputs!$C$8),1,0)</f>
        <v>0</v>
      </c>
      <c r="K11" s="9" t="n">
        <f aca="false">MAX(I11,J11)</f>
        <v>1</v>
      </c>
      <c r="L11" s="9" t="n">
        <f aca="false">I11*J11</f>
        <v>0</v>
      </c>
      <c r="M11" s="17" t="n">
        <f aca="false">IFERROR((AK11/AD11)/(BD11/AW11),1)</f>
        <v>1.27214541494732</v>
      </c>
      <c r="N11" s="17" t="n">
        <f aca="false">IFERROR(((AW11-AX11)/AW11)/((AD11-AE11)/AD11),1)</f>
        <v>1.0008219558094</v>
      </c>
      <c r="O11" s="17" t="n">
        <f aca="false">IFERROR((1-(AM11+AO11)/AN11)/(1-(BF11+BH11)/BG11),1)</f>
        <v>1.33551559993684</v>
      </c>
      <c r="P11" s="17" t="n">
        <f aca="false">IFERROR(AD11/AW11,1)</f>
        <v>1.5842602539269</v>
      </c>
      <c r="Q11" s="17" t="n">
        <f aca="false">IFERROR((AZ11/(AZ11+BH11))/(AG11/(AG11+AO11)),1)</f>
        <v>1.12904536904073</v>
      </c>
      <c r="R11" s="17" t="n">
        <f aca="false">IFERROR((AF11/AD11)/(AY11/AW11),1)</f>
        <v>0.930517657086536</v>
      </c>
      <c r="S11" s="17" t="n">
        <f aca="false">IFERROR((AH11-AI11)/AN11,0)</f>
        <v>0.0782780160838183</v>
      </c>
      <c r="T11" s="17" t="n">
        <f aca="false">IFERROR(((AS11+N(AU11))/AN11)/((BL11+N(BN11))/BG11),1)</f>
        <v>1.16962304494194</v>
      </c>
      <c r="U11" s="17" t="n">
        <f aca="false">IFERROR((((AM11-AP11-N(AQ11))-(AS11-N(AV11))+(AN11-AM11-N(AR11))-(AT11-AS11-N(AU11))+(N(AQ11)+N(AR11))-(N(AU11)+N(AV11)))-((BF11-BI11-N(BJ11))-(BL11-N(BO11))+(BG11-BF11-N(BK11))-(BM11-BL11-N(BN11))+(N(BJ11)+N(BK11))-(N(BN11)+N(BO11))))/((AN11+BG11)/2),0)</f>
        <v>0.299830323201671</v>
      </c>
      <c r="V11" s="17" t="n">
        <f aca="false">IFERROR((AK11-BD11)/((AN11+BG11)/2),0)</f>
        <v>0.220930611978529</v>
      </c>
      <c r="W11" s="17" t="n">
        <f aca="false">IFERROR((N(AL11)-N(BE11))/((AN11+BG11)/2),0)</f>
        <v>0.0189825918130945</v>
      </c>
      <c r="X11" s="17" t="n">
        <f aca="false">IFERROR((AN11-N(AO11)-AP11)/AN11,0)</f>
        <v>0.72069632779793</v>
      </c>
      <c r="Y11" s="17" t="n">
        <f aca="false">IF(COUNT(BP11,BQ11,BR11,BS11)=4,IFERROR((AD11-(AK11-BD11))/(AW11-(BD11-BP11))-1,0),0)</f>
        <v>0.488359778529226</v>
      </c>
      <c r="Z11" s="17" t="n">
        <f aca="false">IF(COUNT(BP11,BQ11,BR11,BS11)=4,IFERROR(AH11/((AN11+BG11)/2)-BA11/((BG11+BR11)/2),0),0)</f>
        <v>0.176067624942622</v>
      </c>
      <c r="AA11" s="9" t="n">
        <f aca="false">IF(N(AJ11)&gt;0,1,0)</f>
        <v>0</v>
      </c>
      <c r="AB11" s="17" t="n">
        <f aca="false">Inputs!$C$24+Inputs!$C$25*U11+Inputs!$C$26*V11+Inputs!$C$27*W11+Inputs!$C$28*X11+Inputs!$C$29*Y11+Inputs!$C$30*Z11+Inputs!$C$31*AA11</f>
        <v>-5.73154996846527</v>
      </c>
      <c r="AD11" s="30" t="n">
        <v>187.296</v>
      </c>
      <c r="AE11" s="30" t="n">
        <v>20.202</v>
      </c>
      <c r="AF11" s="30" t="n">
        <v>133.384</v>
      </c>
      <c r="AG11" s="30" t="n">
        <v>1.799</v>
      </c>
      <c r="AH11" s="30" t="n">
        <v>29.446</v>
      </c>
      <c r="AI11" s="30" t="n">
        <v>18.807</v>
      </c>
      <c r="AJ11" s="30" t="n">
        <v>0</v>
      </c>
      <c r="AK11" s="30" t="n">
        <v>53.755</v>
      </c>
      <c r="AL11" s="30" t="n">
        <v>7.46</v>
      </c>
      <c r="AM11" s="30" t="n">
        <v>96.31</v>
      </c>
      <c r="AN11" s="30" t="n">
        <v>135.913</v>
      </c>
      <c r="AO11" s="30" t="n">
        <v>9.475</v>
      </c>
      <c r="AP11" s="30" t="n">
        <v>28.486</v>
      </c>
      <c r="AQ11" s="30" t="n">
        <v>3</v>
      </c>
      <c r="AR11" s="30" t="s">
        <v>185</v>
      </c>
      <c r="AS11" s="30" t="n">
        <v>26.777</v>
      </c>
      <c r="AT11" s="30" t="n">
        <v>27.925</v>
      </c>
      <c r="AU11" s="30" t="s">
        <v>185</v>
      </c>
      <c r="AV11" s="30" t="s">
        <v>185</v>
      </c>
      <c r="AW11" s="30" t="n">
        <v>118.223</v>
      </c>
      <c r="AX11" s="30" t="n">
        <v>12.665</v>
      </c>
      <c r="AY11" s="30" t="n">
        <v>90.48</v>
      </c>
      <c r="AZ11" s="30" t="n">
        <v>1.197</v>
      </c>
      <c r="BA11" s="30" t="n">
        <v>6.22</v>
      </c>
      <c r="BB11" s="30" t="n">
        <v>16.802</v>
      </c>
      <c r="BC11" s="30" t="n">
        <v>0</v>
      </c>
      <c r="BD11" s="30" t="n">
        <v>26.672</v>
      </c>
      <c r="BE11" s="30" t="n">
        <v>5.133</v>
      </c>
      <c r="BF11" s="30" t="n">
        <v>85.677</v>
      </c>
      <c r="BG11" s="30" t="n">
        <v>109.259</v>
      </c>
      <c r="BH11" s="30" t="n">
        <v>5.447</v>
      </c>
      <c r="BI11" s="30" t="n">
        <v>46.582</v>
      </c>
      <c r="BJ11" s="30" t="n">
        <v>5.75</v>
      </c>
      <c r="BK11" s="30" t="s">
        <v>185</v>
      </c>
      <c r="BL11" s="30" t="n">
        <v>18.404</v>
      </c>
      <c r="BM11" s="30" t="n">
        <v>19.93</v>
      </c>
      <c r="BN11" s="30" t="s">
        <v>185</v>
      </c>
      <c r="BO11" s="30" t="s">
        <v>185</v>
      </c>
      <c r="BP11" s="30" t="n">
        <v>16.093</v>
      </c>
      <c r="BQ11" s="30" t="n">
        <v>59.181</v>
      </c>
      <c r="BR11" s="30" t="n">
        <v>84.694</v>
      </c>
      <c r="BS11" s="30" t="n">
        <v>-4.112</v>
      </c>
    </row>
    <row r="12" customFormat="false" ht="15" hidden="false" customHeight="false" outlineLevel="0" collapsed="false">
      <c r="B12" s="31" t="s">
        <v>199</v>
      </c>
      <c r="C12" s="31" t="s">
        <v>200</v>
      </c>
      <c r="D12" s="32" t="n">
        <v>2016</v>
      </c>
      <c r="E12" s="24" t="n">
        <v>42795</v>
      </c>
      <c r="F12" s="33" t="n">
        <v>1</v>
      </c>
      <c r="G12" s="26" t="n">
        <f aca="false">Inputs!$C$13+Inputs!$C$14*M12+Inputs!$C$15*N12+Inputs!$C$16*O12+Inputs!$C$17*P12+Inputs!$C$18*Q12+Inputs!$C$19*R12+Inputs!$C$20*S12+Inputs!$C$21*T12</f>
        <v>-2.60678544153747</v>
      </c>
      <c r="H12" s="26" t="n">
        <f aca="false">EXP(AB12)/(1+EXP(AB12))/Inputs!$C$32</f>
        <v>0.812971619777972</v>
      </c>
      <c r="I12" s="9" t="n">
        <f aca="false">IF(AND(F12=1,G12&gt;Inputs!$C$7),1,0)</f>
        <v>0</v>
      </c>
      <c r="J12" s="9" t="n">
        <f aca="false">IF(AND(F12=1,H12&gt;Inputs!$C$8),1,0)</f>
        <v>0</v>
      </c>
      <c r="K12" s="9" t="n">
        <f aca="false">MAX(I12,J12)</f>
        <v>0</v>
      </c>
      <c r="L12" s="9" t="n">
        <f aca="false">I12*J12</f>
        <v>0</v>
      </c>
      <c r="M12" s="17" t="n">
        <f aca="false">IFERROR((AK12/AD12)/(BD12/AW12),1)</f>
        <v>0.954925405384027</v>
      </c>
      <c r="N12" s="17" t="n">
        <f aca="false">IFERROR(((AW12-AX12)/AW12)/((AD12-AE12)/AD12),1)</f>
        <v>1.02812382674879</v>
      </c>
      <c r="O12" s="17" t="n">
        <f aca="false">IFERROR((1-(AM12+AO12)/AN12)/(1-(BF12+BH12)/BG12),1)</f>
        <v>1.23571327623878</v>
      </c>
      <c r="P12" s="17" t="n">
        <f aca="false">IFERROR(AD12/AW12,1)</f>
        <v>1.30816995557834</v>
      </c>
      <c r="Q12" s="17" t="n">
        <f aca="false">IFERROR((AZ12/(AZ12+BH12))/(AG12/(AG12+AO12)),1)</f>
        <v>0.819589170199617</v>
      </c>
      <c r="R12" s="17" t="n">
        <f aca="false">IFERROR((AF12/AD12)/(AY12/AW12),1)</f>
        <v>1.03156680648281</v>
      </c>
      <c r="S12" s="17" t="n">
        <f aca="false">IFERROR((AH12-AI12)/AN12,0)</f>
        <v>-0.0716846990888064</v>
      </c>
      <c r="T12" s="17" t="n">
        <f aca="false">IFERROR(((AS12+N(AU12))/AN12)/((BL12+N(BN12))/BG12),1)</f>
        <v>1.33239301471517</v>
      </c>
      <c r="U12" s="17" t="n">
        <f aca="false">IFERROR((((AM12-AP12-N(AQ12))-(AS12-N(AV12))+(AN12-AM12-N(AR12))-(AT12-AS12-N(AU12))+(N(AQ12)+N(AR12))-(N(AU12)+N(AV12)))-((BF12-BI12-N(BJ12))-(BL12-N(BO12))+(BG12-BF12-N(BK12))-(BM12-BL12-N(BN12))+(N(BJ12)+N(BK12))-(N(BN12)+N(BO12))))/((AN12+BG12)/2),0)</f>
        <v>0.116089872894743</v>
      </c>
      <c r="V12" s="17" t="n">
        <f aca="false">IFERROR((AK12-BD12)/((AN12+BG12)/2),0)</f>
        <v>0.0813911099229591</v>
      </c>
      <c r="W12" s="17" t="n">
        <f aca="false">IFERROR((N(AL12)-N(BE12))/((AN12+BG12)/2),0)</f>
        <v>0.0629085960094296</v>
      </c>
      <c r="X12" s="17" t="n">
        <f aca="false">IFERROR((AN12-N(AO12)-AP12)/AN12,0)</f>
        <v>0.750717933593083</v>
      </c>
      <c r="Y12" s="17" t="n">
        <f aca="false">IF(COUNT(BP12,BQ12,BR12,BS12)=4,IFERROR((AD12-(AK12-BD12))/(AW12-(BD12-BP12))-1,0),0)</f>
        <v>0.445694169636671</v>
      </c>
      <c r="Z12" s="17" t="n">
        <f aca="false">IF(COUNT(BP12,BQ12,BR12,BS12)=4,IFERROR(AH12/((AN12+BG12)/2)-BA12/((BG12+BR12)/2),0),0)</f>
        <v>-0.167455520275056</v>
      </c>
      <c r="AA12" s="9" t="n">
        <f aca="false">IF(N(AJ12)&gt;0,1,0)</f>
        <v>0</v>
      </c>
      <c r="AB12" s="17" t="n">
        <f aca="false">Inputs!$C$24+Inputs!$C$25*U12+Inputs!$C$26*V12+Inputs!$C$27*W12+Inputs!$C$28*X12+Inputs!$C$29*Y12+Inputs!$C$30*Z12+Inputs!$C$31*AA12</f>
        <v>-5.80346900929498</v>
      </c>
      <c r="AD12" s="30" t="n">
        <v>245.015</v>
      </c>
      <c r="AE12" s="30" t="n">
        <v>32.407</v>
      </c>
      <c r="AF12" s="30" t="n">
        <v>179.997</v>
      </c>
      <c r="AG12" s="30" t="n">
        <v>3.333</v>
      </c>
      <c r="AH12" s="30" t="n">
        <v>11.974</v>
      </c>
      <c r="AI12" s="30" t="n">
        <v>25.828</v>
      </c>
      <c r="AJ12" s="30" t="s">
        <v>185</v>
      </c>
      <c r="AK12" s="30" t="n">
        <v>67.151</v>
      </c>
      <c r="AL12" s="30" t="n">
        <v>17.814</v>
      </c>
      <c r="AM12" s="30" t="n">
        <v>126.538</v>
      </c>
      <c r="AN12" s="30" t="n">
        <v>193.263</v>
      </c>
      <c r="AO12" s="30" t="n">
        <v>13.786</v>
      </c>
      <c r="AP12" s="30" t="n">
        <v>34.391</v>
      </c>
      <c r="AQ12" s="30" t="n">
        <v>0</v>
      </c>
      <c r="AR12" s="30" t="s">
        <v>185</v>
      </c>
      <c r="AS12" s="30" t="n">
        <v>50.732</v>
      </c>
      <c r="AT12" s="30" t="n">
        <v>60.263</v>
      </c>
      <c r="AU12" s="30" t="s">
        <v>185</v>
      </c>
      <c r="AV12" s="30" t="s">
        <v>185</v>
      </c>
      <c r="AW12" s="30" t="n">
        <v>187.296</v>
      </c>
      <c r="AX12" s="30" t="n">
        <v>20.202</v>
      </c>
      <c r="AY12" s="30" t="n">
        <v>133.384</v>
      </c>
      <c r="AZ12" s="30" t="n">
        <v>1.799</v>
      </c>
      <c r="BA12" s="30" t="n">
        <v>29.446</v>
      </c>
      <c r="BB12" s="30" t="n">
        <v>18.807</v>
      </c>
      <c r="BC12" s="30" t="n">
        <v>0</v>
      </c>
      <c r="BD12" s="30" t="n">
        <v>53.755</v>
      </c>
      <c r="BE12" s="30" t="n">
        <v>7.46</v>
      </c>
      <c r="BF12" s="30" t="n">
        <v>96.31</v>
      </c>
      <c r="BG12" s="30" t="n">
        <v>135.913</v>
      </c>
      <c r="BH12" s="30" t="n">
        <v>9.475</v>
      </c>
      <c r="BI12" s="30" t="n">
        <v>28.486</v>
      </c>
      <c r="BJ12" s="30" t="n">
        <v>3</v>
      </c>
      <c r="BK12" s="30" t="s">
        <v>185</v>
      </c>
      <c r="BL12" s="30" t="n">
        <v>26.777</v>
      </c>
      <c r="BM12" s="30" t="n">
        <v>27.925</v>
      </c>
      <c r="BN12" s="30" t="s">
        <v>185</v>
      </c>
      <c r="BO12" s="30" t="s">
        <v>185</v>
      </c>
      <c r="BP12" s="30" t="n">
        <v>26.672</v>
      </c>
      <c r="BQ12" s="30" t="n">
        <v>118.223</v>
      </c>
      <c r="BR12" s="30" t="n">
        <v>109.259</v>
      </c>
      <c r="BS12" s="30" t="n">
        <v>6.22</v>
      </c>
    </row>
    <row r="13" customFormat="false" ht="15" hidden="false" customHeight="false" outlineLevel="0" collapsed="false">
      <c r="B13" s="31" t="s">
        <v>201</v>
      </c>
      <c r="C13" s="31" t="s">
        <v>202</v>
      </c>
      <c r="D13" s="32" t="n">
        <v>2015</v>
      </c>
      <c r="E13" s="24" t="n">
        <v>42426</v>
      </c>
      <c r="F13" s="33" t="n">
        <v>1</v>
      </c>
      <c r="G13" s="26" t="n">
        <f aca="false">Inputs!$C$13+Inputs!$C$14*M13+Inputs!$C$15*N13+Inputs!$C$16*O13+Inputs!$C$17*P13+Inputs!$C$18*Q13+Inputs!$C$19*R13+Inputs!$C$20*S13+Inputs!$C$21*T13</f>
        <v>-2.39258235290185</v>
      </c>
      <c r="H13" s="26" t="n">
        <f aca="false">EXP(AB13)/(1+EXP(AB13))/Inputs!$C$32</f>
        <v>0.454338596874917</v>
      </c>
      <c r="I13" s="9" t="n">
        <f aca="false">IF(AND(F13=1,G13&gt;Inputs!$C$7),1,0)</f>
        <v>0</v>
      </c>
      <c r="J13" s="9" t="n">
        <f aca="false">IF(AND(F13=1,H13&gt;Inputs!$C$8),1,0)</f>
        <v>0</v>
      </c>
      <c r="K13" s="9" t="n">
        <f aca="false">MAX(I13,J13)</f>
        <v>0</v>
      </c>
      <c r="L13" s="9" t="n">
        <f aca="false">I13*J13</f>
        <v>0</v>
      </c>
      <c r="M13" s="17" t="n">
        <f aca="false">IFERROR((AK13/AD13)/(BD13/AW13),1)</f>
        <v>0.959069296333789</v>
      </c>
      <c r="N13" s="17" t="n">
        <f aca="false">IFERROR(((AW13-AX13)/AW13)/((AD13-AE13)/AD13),1)</f>
        <v>1.01665220702289</v>
      </c>
      <c r="O13" s="17" t="n">
        <f aca="false">IFERROR((1-(AM13+AO13)/AN13)/(1-(BF13+BH13)/BG13),1)</f>
        <v>1.3866649694889</v>
      </c>
      <c r="P13" s="17" t="n">
        <f aca="false">IFERROR(AD13/AW13,1)</f>
        <v>1.26571895896474</v>
      </c>
      <c r="Q13" s="17" t="n">
        <f aca="false">IFERROR((AZ13/(AZ13+BH13))/(AG13/(AG13+AO13)),1)</f>
        <v>0.900230746363215</v>
      </c>
      <c r="R13" s="17" t="n">
        <f aca="false">IFERROR((AF13/AD13)/(AY13/AW13),1)</f>
        <v>0.904824490420064</v>
      </c>
      <c r="S13" s="17" t="n">
        <f aca="false">IFERROR((AH13-AI13)/AN13,0)</f>
        <v>-0.0757876594277835</v>
      </c>
      <c r="T13" s="17" t="n">
        <f aca="false">IFERROR(((AS13+N(AU13))/AN13)/((BL13+N(BN13))/BG13),1)</f>
        <v>0.777488363681954</v>
      </c>
      <c r="U13" s="17" t="n">
        <f aca="false">IFERROR((((AM13-AP13-N(AQ13))-(AS13-N(AV13))+(AN13-AM13-N(AR13))-(AT13-AS13-N(AU13))+(N(AQ13)+N(AR13))-(N(AU13)+N(AV13)))-((BF13-BI13-N(BJ13))-(BL13-N(BO13))+(BG13-BF13-N(BK13))-(BM13-BL13-N(BN13))+(N(BJ13)+N(BK13))-(N(BN13)+N(BO13))))/((AN13+BG13)/2),0)</f>
        <v>0</v>
      </c>
      <c r="V13" s="17" t="n">
        <f aca="false">IFERROR((AK13-BD13)/((AN13+BG13)/2),0)</f>
        <v>0.0269634516966497</v>
      </c>
      <c r="W13" s="17" t="n">
        <f aca="false">IFERROR((N(AL13)-N(BE13))/((AN13+BG13)/2),0)</f>
        <v>0</v>
      </c>
      <c r="X13" s="17" t="n">
        <f aca="false">IFERROR((AN13-N(AO13)-AP13)/AN13,0)</f>
        <v>0.688861968779239</v>
      </c>
      <c r="Y13" s="17" t="n">
        <f aca="false">IF(COUNT(BP13,BQ13,BR13,BS13)=4,IFERROR((AD13-(AK13-BD13))/(AW13-(BD13-BP13))-1,0),0)</f>
        <v>0.370494904376591</v>
      </c>
      <c r="Z13" s="17" t="n">
        <f aca="false">IF(COUNT(BP13,BQ13,BR13,BS13)=4,IFERROR(AH13/((AN13+BG13)/2)-BA13/((BG13+BR13)/2),0),0)</f>
        <v>-0.0127049581262681</v>
      </c>
      <c r="AA13" s="9" t="n">
        <f aca="false">IF(N(AJ13)&gt;0,1,0)</f>
        <v>0</v>
      </c>
      <c r="AB13" s="17" t="n">
        <f aca="false">Inputs!$C$24+Inputs!$C$25*U13+Inputs!$C$26*V13+Inputs!$C$27*W13+Inputs!$C$28*X13+Inputs!$C$29*Y13+Inputs!$C$30*Z13+Inputs!$C$31*AA13</f>
        <v>-6.38665254279164</v>
      </c>
      <c r="AD13" s="30" t="n">
        <v>578.831</v>
      </c>
      <c r="AE13" s="30" t="n">
        <v>239.074</v>
      </c>
      <c r="AF13" s="30" t="n">
        <v>90.735</v>
      </c>
      <c r="AG13" s="30" t="n">
        <v>72.152</v>
      </c>
      <c r="AH13" s="30" t="n">
        <v>40.63</v>
      </c>
      <c r="AI13" s="30" t="n">
        <v>117.581</v>
      </c>
      <c r="AJ13" s="30" t="s">
        <v>185</v>
      </c>
      <c r="AK13" s="30" t="n">
        <v>143.692</v>
      </c>
      <c r="AL13" s="30" t="s">
        <v>185</v>
      </c>
      <c r="AM13" s="30" t="n">
        <v>406.945</v>
      </c>
      <c r="AN13" s="30" t="n">
        <v>1015.35</v>
      </c>
      <c r="AO13" s="30" t="n">
        <v>168.28</v>
      </c>
      <c r="AP13" s="30" t="n">
        <v>147.634</v>
      </c>
      <c r="AQ13" s="30" t="n">
        <v>66.357</v>
      </c>
      <c r="AR13" s="30" t="n">
        <v>19.635</v>
      </c>
      <c r="AS13" s="30" t="n">
        <v>80.18</v>
      </c>
      <c r="AT13" s="30" t="s">
        <v>185</v>
      </c>
      <c r="AU13" s="30" t="s">
        <v>185</v>
      </c>
      <c r="AV13" s="30" t="s">
        <v>185</v>
      </c>
      <c r="AW13" s="30" t="n">
        <v>457.314</v>
      </c>
      <c r="AX13" s="30" t="n">
        <v>184.414</v>
      </c>
      <c r="AY13" s="30" t="n">
        <v>79.227</v>
      </c>
      <c r="AZ13" s="30" t="n">
        <v>55.956</v>
      </c>
      <c r="BA13" s="30" t="n">
        <v>38.895</v>
      </c>
      <c r="BB13" s="30" t="n">
        <v>70.979</v>
      </c>
      <c r="BC13" s="30" t="n">
        <v>230</v>
      </c>
      <c r="BD13" s="30" t="n">
        <v>118.371</v>
      </c>
      <c r="BE13" s="30" t="s">
        <v>185</v>
      </c>
      <c r="BF13" s="30" t="n">
        <v>441.933</v>
      </c>
      <c r="BG13" s="30" t="n">
        <v>862.822</v>
      </c>
      <c r="BH13" s="30" t="n">
        <v>151.171</v>
      </c>
      <c r="BI13" s="30" t="n">
        <v>235.967</v>
      </c>
      <c r="BJ13" s="30" t="n">
        <v>51.097</v>
      </c>
      <c r="BK13" s="30" t="n">
        <v>3.313</v>
      </c>
      <c r="BL13" s="30" t="n">
        <v>87.635</v>
      </c>
      <c r="BM13" s="30" t="s">
        <v>185</v>
      </c>
      <c r="BN13" s="30" t="s">
        <v>185</v>
      </c>
      <c r="BO13" s="30" t="s">
        <v>185</v>
      </c>
      <c r="BP13" s="30" t="n">
        <v>64.933</v>
      </c>
      <c r="BQ13" s="30" t="n">
        <v>349.047</v>
      </c>
      <c r="BR13" s="30" t="n">
        <v>527.019</v>
      </c>
      <c r="BS13" s="30" t="n">
        <v>23.351</v>
      </c>
    </row>
    <row r="14" customFormat="false" ht="15" hidden="false" customHeight="false" outlineLevel="0" collapsed="false">
      <c r="B14" s="31" t="s">
        <v>201</v>
      </c>
      <c r="C14" s="31" t="s">
        <v>202</v>
      </c>
      <c r="D14" s="32" t="n">
        <v>2016</v>
      </c>
      <c r="E14" s="24" t="n">
        <v>42793</v>
      </c>
      <c r="F14" s="33" t="n">
        <v>1</v>
      </c>
      <c r="G14" s="26" t="n">
        <f aca="false">Inputs!$C$13+Inputs!$C$14*M14+Inputs!$C$15*N14+Inputs!$C$16*O14+Inputs!$C$17*P14+Inputs!$C$18*Q14+Inputs!$C$19*R14+Inputs!$C$20*S14+Inputs!$C$21*T14</f>
        <v>-3.44380008931062</v>
      </c>
      <c r="H14" s="26" t="n">
        <f aca="false">EXP(AB14)/(1+EXP(AB14))/Inputs!$C$32</f>
        <v>0.444439073954583</v>
      </c>
      <c r="I14" s="9" t="n">
        <f aca="false">IF(AND(F14=1,G14&gt;Inputs!$C$7),1,0)</f>
        <v>0</v>
      </c>
      <c r="J14" s="9" t="n">
        <f aca="false">IF(AND(F14=1,H14&gt;Inputs!$C$8),1,0)</f>
        <v>0</v>
      </c>
      <c r="K14" s="9" t="n">
        <f aca="false">MAX(I14,J14)</f>
        <v>0</v>
      </c>
      <c r="L14" s="9" t="n">
        <f aca="false">I14*J14</f>
        <v>0</v>
      </c>
      <c r="M14" s="17" t="n">
        <f aca="false">IFERROR((AK14/AD14)/(BD14/AW14),1)</f>
        <v>0.905353032098581</v>
      </c>
      <c r="N14" s="17" t="n">
        <f aca="false">IFERROR(((AW14-AX14)/AW14)/((AD14-AE14)/AD14),1)</f>
        <v>1</v>
      </c>
      <c r="O14" s="17" t="n">
        <f aca="false">IFERROR((1-(AM14+AO14)/AN14)/(1-(BF14+BH14)/BG14),1)</f>
        <v>1.28541817648119</v>
      </c>
      <c r="P14" s="17" t="n">
        <f aca="false">IFERROR(AD14/AW14,1)</f>
        <v>1.11359745116405</v>
      </c>
      <c r="Q14" s="17" t="n">
        <f aca="false">IFERROR((AZ14/(AZ14+BH14))/(AG14/(AG14+AO14)),1)</f>
        <v>0.770274681073257</v>
      </c>
      <c r="R14" s="17" t="n">
        <f aca="false">IFERROR((AF14/AD14)/(AY14/AW14),1)</f>
        <v>1.33164369255364</v>
      </c>
      <c r="S14" s="17" t="n">
        <f aca="false">IFERROR((AH14-AI14)/AN14,0)</f>
        <v>-0.169596532755688</v>
      </c>
      <c r="T14" s="17" t="n">
        <f aca="false">IFERROR(((AS14+N(AU14))/AN14)/((BL14+N(BN14))/BG14),1)</f>
        <v>1.6616496789553</v>
      </c>
      <c r="U14" s="17" t="n">
        <f aca="false">IFERROR((((AM14-AP14-N(AQ14))-(AS14-N(AV14))+(AN14-AM14-N(AR14))-(AT14-AS14-N(AU14))+(N(AQ14)+N(AR14))-(N(AU14)+N(AV14)))-((BF14-BI14-N(BJ14))-(BL14-N(BO14))+(BG14-BF14-N(BK14))-(BM14-BL14-N(BN14))+(N(BJ14)+N(BK14))-(N(BN14)+N(BO14))))/((AN14+BG14)/2),0)</f>
        <v>0</v>
      </c>
      <c r="V14" s="17" t="n">
        <f aca="false">IFERROR((AK14-BD14)/((AN14+BG14)/2),0)</f>
        <v>0.00102622718518115</v>
      </c>
      <c r="W14" s="17" t="n">
        <f aca="false">IFERROR((N(AL14)-N(BE14))/((AN14+BG14)/2),0)</f>
        <v>0</v>
      </c>
      <c r="X14" s="17" t="n">
        <f aca="false">IFERROR((AN14-N(AO14)-AP14)/AN14,0)</f>
        <v>0.710991140428374</v>
      </c>
      <c r="Y14" s="17" t="n">
        <f aca="false">IF(COUNT(BP14,BQ14,BR14,BS14)=4,IFERROR((AD14-(AK14-BD14))/(AW14-(BD14-BP14))-1,0),0)</f>
        <v>0.159034142276135</v>
      </c>
      <c r="Z14" s="17" t="n">
        <f aca="false">IF(COUNT(BP14,BQ14,BR14,BS14)=4,IFERROR(AH14/((AN14+BG14)/2)-BA14/((BG14+BR14)/2),0),0)</f>
        <v>-0.0509127399260284</v>
      </c>
      <c r="AA14" s="9" t="n">
        <f aca="false">IF(N(AJ14)&gt;0,1,0)</f>
        <v>0</v>
      </c>
      <c r="AB14" s="17" t="n">
        <f aca="false">Inputs!$C$24+Inputs!$C$25*U14+Inputs!$C$26*V14+Inputs!$C$27*W14+Inputs!$C$28*X14+Inputs!$C$29*Y14+Inputs!$C$30*Z14+Inputs!$C$31*AA14</f>
        <v>-6.40871898109968</v>
      </c>
      <c r="AD14" s="30" t="n">
        <v>476.75</v>
      </c>
      <c r="AE14" s="30" t="s">
        <v>185</v>
      </c>
      <c r="AF14" s="30" t="n">
        <v>131.106</v>
      </c>
      <c r="AG14" s="30" t="n">
        <v>99.311</v>
      </c>
      <c r="AH14" s="30" t="n">
        <v>-54.945</v>
      </c>
      <c r="AI14" s="30" t="n">
        <v>142.589</v>
      </c>
      <c r="AJ14" s="30" t="n">
        <v>0</v>
      </c>
      <c r="AK14" s="30" t="n">
        <v>137.233</v>
      </c>
      <c r="AL14" s="30" t="s">
        <v>185</v>
      </c>
      <c r="AM14" s="30" t="n">
        <v>364.453</v>
      </c>
      <c r="AN14" s="30" t="n">
        <v>1164.729</v>
      </c>
      <c r="AO14" s="30" t="n">
        <v>155.599</v>
      </c>
      <c r="AP14" s="30" t="n">
        <v>181.018</v>
      </c>
      <c r="AQ14" s="30" t="n">
        <v>12.506</v>
      </c>
      <c r="AR14" s="30" t="n">
        <v>2.974</v>
      </c>
      <c r="AS14" s="30" t="n">
        <v>153.607</v>
      </c>
      <c r="AT14" s="30" t="s">
        <v>185</v>
      </c>
      <c r="AU14" s="30" t="s">
        <v>185</v>
      </c>
      <c r="AV14" s="30" t="n">
        <v>29</v>
      </c>
      <c r="AW14" s="30" t="n">
        <v>428.117</v>
      </c>
      <c r="AX14" s="30" t="n">
        <v>239.074</v>
      </c>
      <c r="AY14" s="30" t="n">
        <v>88.411</v>
      </c>
      <c r="AZ14" s="30" t="n">
        <v>72.152</v>
      </c>
      <c r="BA14" s="30" t="n">
        <v>0.363</v>
      </c>
      <c r="BB14" s="30" t="n">
        <v>139.822</v>
      </c>
      <c r="BC14" s="30" t="n">
        <v>0</v>
      </c>
      <c r="BD14" s="30" t="n">
        <v>136.117</v>
      </c>
      <c r="BE14" s="30" t="s">
        <v>185</v>
      </c>
      <c r="BF14" s="30" t="n">
        <v>406.945</v>
      </c>
      <c r="BG14" s="30" t="n">
        <v>1010.228</v>
      </c>
      <c r="BH14" s="30" t="n">
        <v>168.28</v>
      </c>
      <c r="BI14" s="30" t="n">
        <v>147.634</v>
      </c>
      <c r="BJ14" s="30" t="n">
        <v>66.357</v>
      </c>
      <c r="BK14" s="30" t="n">
        <v>19.635</v>
      </c>
      <c r="BL14" s="30" t="n">
        <v>80.18</v>
      </c>
      <c r="BM14" s="30" t="s">
        <v>185</v>
      </c>
      <c r="BN14" s="30" t="s">
        <v>185</v>
      </c>
      <c r="BO14" s="30" t="n">
        <v>0</v>
      </c>
      <c r="BP14" s="30" t="n">
        <v>118.371</v>
      </c>
      <c r="BQ14" s="30" t="n">
        <v>307.301</v>
      </c>
      <c r="BR14" s="30" t="n">
        <v>862.822</v>
      </c>
      <c r="BS14" s="30" t="n">
        <v>-2.023</v>
      </c>
    </row>
    <row r="15" customFormat="false" ht="15" hidden="false" customHeight="false" outlineLevel="0" collapsed="false">
      <c r="B15" s="31" t="s">
        <v>203</v>
      </c>
      <c r="C15" s="31" t="s">
        <v>204</v>
      </c>
      <c r="D15" s="32" t="n">
        <v>2014</v>
      </c>
      <c r="E15" s="24" t="n">
        <v>42055</v>
      </c>
      <c r="F15" s="33" t="n">
        <v>1</v>
      </c>
      <c r="G15" s="26" t="n">
        <f aca="false">Inputs!$C$13+Inputs!$C$14*M15+Inputs!$C$15*N15+Inputs!$C$16*O15+Inputs!$C$17*P15+Inputs!$C$18*Q15+Inputs!$C$19*R15+Inputs!$C$20*S15+Inputs!$C$21*T15</f>
        <v>-3.26643758435269</v>
      </c>
      <c r="H15" s="26" t="n">
        <f aca="false">EXP(AB15)/(1+EXP(AB15))/Inputs!$C$32</f>
        <v>0.507435476653191</v>
      </c>
      <c r="I15" s="9" t="n">
        <f aca="false">IF(AND(F15=1,G15&gt;Inputs!$C$7),1,0)</f>
        <v>0</v>
      </c>
      <c r="J15" s="9" t="n">
        <f aca="false">IF(AND(F15=1,H15&gt;Inputs!$C$8),1,0)</f>
        <v>0</v>
      </c>
      <c r="K15" s="9" t="n">
        <f aca="false">MAX(I15,J15)</f>
        <v>0</v>
      </c>
      <c r="L15" s="9" t="n">
        <f aca="false">I15*J15</f>
        <v>0</v>
      </c>
      <c r="M15" s="17" t="n">
        <f aca="false">IFERROR((AK15/AD15)/(BD15/AW15),1)</f>
        <v>0.950351956941101</v>
      </c>
      <c r="N15" s="17" t="n">
        <f aca="false">IFERROR(((AW15-AX15)/AW15)/((AD15-AE15)/AD15),1)</f>
        <v>0.975142851164603</v>
      </c>
      <c r="O15" s="17" t="n">
        <f aca="false">IFERROR((1-(AM15+AO15)/AN15)/(1-(BF15+BH15)/BG15),1)</f>
        <v>0.929286972158005</v>
      </c>
      <c r="P15" s="17" t="n">
        <f aca="false">IFERROR(AD15/AW15,1)</f>
        <v>1.14742731646099</v>
      </c>
      <c r="Q15" s="17" t="n">
        <f aca="false">IFERROR((AZ15/(AZ15+BH15))/(AG15/(AG15+AO15)),1)</f>
        <v>1.02791319839917</v>
      </c>
      <c r="R15" s="17" t="n">
        <f aca="false">IFERROR((AF15/AD15)/(AY15/AW15),1)</f>
        <v>0.990887125641514</v>
      </c>
      <c r="S15" s="17" t="n">
        <f aca="false">IFERROR((AH15-AI15)/AN15,0)</f>
        <v>-0.167819365337673</v>
      </c>
      <c r="T15" s="17" t="n">
        <f aca="false">IFERROR(((AS15+N(AU15))/AN15)/((BL15+N(BN15))/BG15),1)</f>
        <v>1.15328603969127</v>
      </c>
      <c r="U15" s="17" t="n">
        <f aca="false">IFERROR((((AM15-AP15-N(AQ15))-(AS15-N(AV15))+(AN15-AM15-N(AR15))-(AT15-AS15-N(AU15))+(N(AQ15)+N(AR15))-(N(AU15)+N(AV15)))-((BF15-BI15-N(BJ15))-(BL15-N(BO15))+(BG15-BF15-N(BK15))-(BM15-BL15-N(BN15))+(N(BJ15)+N(BK15))-(N(BN15)+N(BO15))))/((AN15+BG15)/2),0)</f>
        <v>0.00346546040021458</v>
      </c>
      <c r="V15" s="17" t="n">
        <f aca="false">IFERROR((AK15-BD15)/((AN15+BG15)/2),0)</f>
        <v>0.0227081053578025</v>
      </c>
      <c r="W15" s="17" t="n">
        <f aca="false">IFERROR((N(AL15)-N(BE15))/((AN15+BG15)/2),0)</f>
        <v>0</v>
      </c>
      <c r="X15" s="17" t="n">
        <f aca="false">IFERROR((AN15-N(AO15)-AP15)/AN15,0)</f>
        <v>0.758780851640901</v>
      </c>
      <c r="Y15" s="17" t="n">
        <f aca="false">IF(COUNT(BP15,BQ15,BR15,BS15)=4,IFERROR((AD15-(AK15-BD15))/(AW15-(BD15-BP15))-1,0),0)</f>
        <v>0.210575936764617</v>
      </c>
      <c r="Z15" s="17" t="n">
        <f aca="false">IF(COUNT(BP15,BQ15,BR15,BS15)=4,IFERROR(AH15/((AN15+BG15)/2)-BA15/((BG15+BR15)/2),0),0)</f>
        <v>-0.0209426902630879</v>
      </c>
      <c r="AA15" s="9" t="n">
        <f aca="false">IF(N(AJ15)&gt;0,1,0)</f>
        <v>0</v>
      </c>
      <c r="AB15" s="17" t="n">
        <f aca="false">Inputs!$C$24+Inputs!$C$25*U15+Inputs!$C$26*V15+Inputs!$C$27*W15+Inputs!$C$28*X15+Inputs!$C$29*Y15+Inputs!$C$30*Z15+Inputs!$C$31*AA15</f>
        <v>-6.2759288990836</v>
      </c>
      <c r="AD15" s="30" t="n">
        <v>329.151</v>
      </c>
      <c r="AE15" s="30" t="n">
        <v>97.467</v>
      </c>
      <c r="AF15" s="30" t="n">
        <v>166.448</v>
      </c>
      <c r="AG15" s="30" t="n">
        <v>17.983</v>
      </c>
      <c r="AH15" s="30" t="n">
        <v>-9.903</v>
      </c>
      <c r="AI15" s="30" t="n">
        <v>49.497</v>
      </c>
      <c r="AJ15" s="30" t="s">
        <v>185</v>
      </c>
      <c r="AK15" s="30" t="n">
        <v>98.185</v>
      </c>
      <c r="AL15" s="30" t="s">
        <v>185</v>
      </c>
      <c r="AM15" s="30" t="n">
        <v>178.883</v>
      </c>
      <c r="AN15" s="30" t="n">
        <v>353.952</v>
      </c>
      <c r="AO15" s="30" t="n">
        <v>42.365</v>
      </c>
      <c r="AP15" s="30" t="n">
        <v>43.015</v>
      </c>
      <c r="AQ15" s="30" t="s">
        <v>185</v>
      </c>
      <c r="AR15" s="30" t="s">
        <v>185</v>
      </c>
      <c r="AS15" s="30" t="n">
        <v>151.61</v>
      </c>
      <c r="AT15" s="30" t="n">
        <v>178.687</v>
      </c>
      <c r="AU15" s="30" t="s">
        <v>185</v>
      </c>
      <c r="AV15" s="30" t="s">
        <v>185</v>
      </c>
      <c r="AW15" s="30" t="n">
        <v>286.86</v>
      </c>
      <c r="AX15" s="30" t="n">
        <v>89.963</v>
      </c>
      <c r="AY15" s="30" t="n">
        <v>146.396</v>
      </c>
      <c r="AZ15" s="30" t="n">
        <v>16.777</v>
      </c>
      <c r="BA15" s="30" t="n">
        <v>-2.333</v>
      </c>
      <c r="BB15" s="30" t="n">
        <v>44.574</v>
      </c>
      <c r="BC15" s="30" t="s">
        <v>185</v>
      </c>
      <c r="BD15" s="30" t="n">
        <v>90.04</v>
      </c>
      <c r="BE15" s="30" t="s">
        <v>185</v>
      </c>
      <c r="BF15" s="30" t="n">
        <v>178.799</v>
      </c>
      <c r="BG15" s="30" t="n">
        <v>363.413</v>
      </c>
      <c r="BH15" s="30" t="n">
        <v>37.995</v>
      </c>
      <c r="BI15" s="30" t="n">
        <v>67.795</v>
      </c>
      <c r="BJ15" s="30" t="s">
        <v>185</v>
      </c>
      <c r="BK15" s="30" t="s">
        <v>185</v>
      </c>
      <c r="BL15" s="30" t="n">
        <v>134.973</v>
      </c>
      <c r="BM15" s="30" t="n">
        <v>164.611</v>
      </c>
      <c r="BN15" s="30" t="s">
        <v>185</v>
      </c>
      <c r="BO15" s="30" t="s">
        <v>185</v>
      </c>
      <c r="BP15" s="30" t="n">
        <v>68.348</v>
      </c>
      <c r="BQ15" s="30" t="n">
        <v>255.193</v>
      </c>
      <c r="BR15" s="30" t="n">
        <v>336.485</v>
      </c>
      <c r="BS15" s="30" t="n">
        <v>-11.789</v>
      </c>
    </row>
    <row r="16" customFormat="false" ht="15" hidden="false" customHeight="false" outlineLevel="0" collapsed="false">
      <c r="B16" s="31" t="s">
        <v>205</v>
      </c>
      <c r="C16" s="31" t="s">
        <v>206</v>
      </c>
      <c r="D16" s="32" t="n">
        <v>2014</v>
      </c>
      <c r="E16" s="24" t="n">
        <v>42083</v>
      </c>
      <c r="F16" s="33" t="n">
        <v>1</v>
      </c>
      <c r="G16" s="26" t="n">
        <f aca="false">Inputs!$C$13+Inputs!$C$14*M16+Inputs!$C$15*N16+Inputs!$C$16*O16+Inputs!$C$17*P16+Inputs!$C$18*Q16+Inputs!$C$19*R16+Inputs!$C$20*S16+Inputs!$C$21*T16</f>
        <v>-1.17379910366261</v>
      </c>
      <c r="H16" s="26" t="n">
        <f aca="false">EXP(AB16)/(1+EXP(AB16))/Inputs!$C$32</f>
        <v>1.44542809971306</v>
      </c>
      <c r="I16" s="9" t="n">
        <f aca="false">IF(AND(F16=1,G16&gt;Inputs!$C$7),1,0)</f>
        <v>1</v>
      </c>
      <c r="J16" s="9" t="n">
        <f aca="false">IF(AND(F16=1,H16&gt;Inputs!$C$8),1,0)</f>
        <v>0</v>
      </c>
      <c r="K16" s="9" t="n">
        <f aca="false">MAX(I16,J16)</f>
        <v>1</v>
      </c>
      <c r="L16" s="9" t="n">
        <f aca="false">I16*J16</f>
        <v>0</v>
      </c>
      <c r="M16" s="17" t="n">
        <f aca="false">IFERROR((AK16/AD16)/(BD16/AW16),1)</f>
        <v>1.32316037287937</v>
      </c>
      <c r="N16" s="17" t="n">
        <f aca="false">IFERROR(((AW16-AX16)/AW16)/((AD16-AE16)/AD16),1)</f>
        <v>0.931006057153177</v>
      </c>
      <c r="O16" s="17" t="n">
        <f aca="false">IFERROR((1-(AM16+AO16)/AN16)/(1-(BF16+BH16)/BG16),1)</f>
        <v>0.0146372842610317</v>
      </c>
      <c r="P16" s="17" t="n">
        <f aca="false">IFERROR(AD16/AW16,1)</f>
        <v>2.46285173605397</v>
      </c>
      <c r="Q16" s="17" t="n">
        <f aca="false">IFERROR((AZ16/(AZ16+BH16))/(AG16/(AG16+AO16)),1)</f>
        <v>0.761282679668555</v>
      </c>
      <c r="R16" s="17" t="n">
        <f aca="false">IFERROR((AF16/AD16)/(AY16/AW16),1)</f>
        <v>0.993959927720975</v>
      </c>
      <c r="S16" s="17" t="n">
        <f aca="false">IFERROR((AH16-AI16)/AN16,0)</f>
        <v>0.0295868240282109</v>
      </c>
      <c r="T16" s="17" t="n">
        <f aca="false">IFERROR(((AS16+N(AU16))/AN16)/((BL16+N(BN16))/BG16),1)</f>
        <v>0.918893597895985</v>
      </c>
      <c r="U16" s="17" t="n">
        <f aca="false">IFERROR((((AM16-AP16-N(AQ16))-(AS16-N(AV16))+(AN16-AM16-N(AR16))-(AT16-AS16-N(AU16))+(N(AQ16)+N(AR16))-(N(AU16)+N(AV16)))-((BF16-BI16-N(BJ16))-(BL16-N(BO16))+(BG16-BF16-N(BK16))-(BM16-BL16-N(BN16))+(N(BJ16)+N(BK16))-(N(BN16)+N(BO16))))/((AN16+BG16)/2),0)</f>
        <v>0.0338774544594276</v>
      </c>
      <c r="V16" s="17" t="n">
        <f aca="false">IFERROR((AK16-BD16)/((AN16+BG16)/2),0)</f>
        <v>0.177146912704045</v>
      </c>
      <c r="W16" s="17" t="n">
        <f aca="false">IFERROR((N(AL16)-N(BE16))/((AN16+BG16)/2),0)</f>
        <v>0.0945771889703756</v>
      </c>
      <c r="X16" s="17" t="n">
        <f aca="false">IFERROR((AN16-N(AO16)-AP16)/AN16,0)</f>
        <v>0.956226176644449</v>
      </c>
      <c r="Y16" s="17" t="n">
        <f aca="false">IF(COUNT(BP16,BQ16,BR16,BS16)=4,IFERROR((AD16-(AK16-BD16))/(AW16-(BD16-BP16))-1,0),0)</f>
        <v>1.18337309039233</v>
      </c>
      <c r="Z16" s="17" t="n">
        <f aca="false">IF(COUNT(BP16,BQ16,BR16,BS16)=4,IFERROR(AH16/((AN16+BG16)/2)-BA16/((BG16+BR16)/2),0),0)</f>
        <v>0.0137805064542618</v>
      </c>
      <c r="AA16" s="9" t="n">
        <f aca="false">IF(N(AJ16)&gt;0,1,0)</f>
        <v>0</v>
      </c>
      <c r="AB16" s="17" t="n">
        <f aca="false">Inputs!$C$24+Inputs!$C$25*U16+Inputs!$C$26*V16+Inputs!$C$27*W16+Inputs!$C$28*X16+Inputs!$C$29*Y16+Inputs!$C$30*Z16+Inputs!$C$31*AA16</f>
        <v>-5.22565448270347</v>
      </c>
      <c r="AD16" s="30" t="n">
        <v>59.867</v>
      </c>
      <c r="AE16" s="30" t="n">
        <v>13.171</v>
      </c>
      <c r="AF16" s="30" t="n">
        <v>37.432</v>
      </c>
      <c r="AG16" s="30" t="n">
        <v>0.94</v>
      </c>
      <c r="AH16" s="30" t="n">
        <v>-0.246</v>
      </c>
      <c r="AI16" s="30" t="n">
        <v>-3.149</v>
      </c>
      <c r="AJ16" s="30" t="s">
        <v>185</v>
      </c>
      <c r="AK16" s="30" t="n">
        <v>24.307</v>
      </c>
      <c r="AL16" s="30" t="n">
        <v>10.924</v>
      </c>
      <c r="AM16" s="30" t="n">
        <v>95.936</v>
      </c>
      <c r="AN16" s="30" t="n">
        <v>98.118</v>
      </c>
      <c r="AO16" s="30" t="n">
        <v>2.087</v>
      </c>
      <c r="AP16" s="30" t="n">
        <v>2.208</v>
      </c>
      <c r="AQ16" s="30" t="n">
        <v>37.305</v>
      </c>
      <c r="AR16" s="30" t="s">
        <v>185</v>
      </c>
      <c r="AS16" s="30" t="n">
        <v>10.566</v>
      </c>
      <c r="AT16" s="30" t="n">
        <v>14.155</v>
      </c>
      <c r="AU16" s="30" t="s">
        <v>185</v>
      </c>
      <c r="AV16" s="30" t="s">
        <v>185</v>
      </c>
      <c r="AW16" s="30" t="n">
        <v>24.308</v>
      </c>
      <c r="AX16" s="30" t="n">
        <v>6.656</v>
      </c>
      <c r="AY16" s="30" t="n">
        <v>15.291</v>
      </c>
      <c r="AZ16" s="30" t="n">
        <v>0.587</v>
      </c>
      <c r="BA16" s="30" t="n">
        <v>-1.093</v>
      </c>
      <c r="BB16" s="30" t="n">
        <v>-13.269</v>
      </c>
      <c r="BC16" s="30" t="s">
        <v>185</v>
      </c>
      <c r="BD16" s="30" t="n">
        <v>7.459</v>
      </c>
      <c r="BE16" s="30" t="n">
        <v>1.929</v>
      </c>
      <c r="BF16" s="30" t="n">
        <v>84.109</v>
      </c>
      <c r="BG16" s="30" t="n">
        <v>92.097</v>
      </c>
      <c r="BH16" s="30" t="n">
        <v>1.896</v>
      </c>
      <c r="BI16" s="30" t="n">
        <v>2.416</v>
      </c>
      <c r="BJ16" s="30" t="n">
        <v>39.508</v>
      </c>
      <c r="BK16" s="30" t="s">
        <v>185</v>
      </c>
      <c r="BL16" s="30" t="n">
        <v>10.793</v>
      </c>
      <c r="BM16" s="30" t="n">
        <v>11.148</v>
      </c>
      <c r="BN16" s="30" t="s">
        <v>185</v>
      </c>
      <c r="BO16" s="30" t="s">
        <v>185</v>
      </c>
      <c r="BP16" s="30" t="n">
        <v>2.854</v>
      </c>
      <c r="BQ16" s="30" t="n">
        <v>7.849</v>
      </c>
      <c r="BR16" s="30" t="n">
        <v>41.464</v>
      </c>
      <c r="BS16" s="30" t="n">
        <v>-5.747</v>
      </c>
    </row>
    <row r="17" customFormat="false" ht="15" hidden="false" customHeight="false" outlineLevel="0" collapsed="false">
      <c r="B17" s="31" t="s">
        <v>207</v>
      </c>
      <c r="C17" s="31" t="s">
        <v>208</v>
      </c>
      <c r="D17" s="32" t="n">
        <v>2011</v>
      </c>
      <c r="E17" s="24" t="n">
        <v>41327</v>
      </c>
      <c r="F17" s="33" t="n">
        <v>1</v>
      </c>
      <c r="G17" s="26" t="n">
        <f aca="false">Inputs!$C$13+Inputs!$C$14*M17+Inputs!$C$15*N17+Inputs!$C$16*O17+Inputs!$C$17*P17+Inputs!$C$18*Q17+Inputs!$C$19*R17+Inputs!$C$20*S17+Inputs!$C$21*T17</f>
        <v>-3.13570501319578</v>
      </c>
      <c r="H17" s="26" t="n">
        <f aca="false">EXP(AB17)/(1+EXP(AB17))/Inputs!$C$32</f>
        <v>0.680397025944506</v>
      </c>
      <c r="I17" s="9" t="n">
        <f aca="false">IF(AND(F17=1,G17&gt;Inputs!$C$7),1,0)</f>
        <v>0</v>
      </c>
      <c r="J17" s="9" t="n">
        <f aca="false">IF(AND(F17=1,H17&gt;Inputs!$C$8),1,0)</f>
        <v>0</v>
      </c>
      <c r="K17" s="9" t="n">
        <f aca="false">MAX(I17,J17)</f>
        <v>0</v>
      </c>
      <c r="L17" s="9" t="n">
        <f aca="false">I17*J17</f>
        <v>0</v>
      </c>
      <c r="M17" s="17" t="n">
        <f aca="false">IFERROR((AK17/AD17)/(BD17/AW17),1)</f>
        <v>1.05436791068179</v>
      </c>
      <c r="N17" s="17" t="n">
        <f aca="false">IFERROR(((AW17-AX17)/AW17)/((AD17-AE17)/AD17),1)</f>
        <v>1.04271565941812</v>
      </c>
      <c r="O17" s="17" t="n">
        <f aca="false">IFERROR((1-(AM17+AO17)/AN17)/(1-(BF17+BH17)/BG17),1)</f>
        <v>0.730408546392439</v>
      </c>
      <c r="P17" s="17" t="n">
        <f aca="false">IFERROR(AD17/AW17,1)</f>
        <v>1.00314899306209</v>
      </c>
      <c r="Q17" s="17" t="n">
        <f aca="false">IFERROR((AZ17/(AZ17+BH17))/(AG17/(AG17+AO17)),1)</f>
        <v>1.12309045753722</v>
      </c>
      <c r="R17" s="17" t="n">
        <f aca="false">IFERROR((AF17/AD17)/(AY17/AW17),1)</f>
        <v>1.02269490697974</v>
      </c>
      <c r="S17" s="17" t="n">
        <f aca="false">IFERROR((AH17-AI17)/AN17,0)</f>
        <v>-0.137284606130999</v>
      </c>
      <c r="T17" s="17" t="n">
        <f aca="false">IFERROR(((AS17+N(AU17))/AN17)/((BL17+N(BN17))/BG17),1)</f>
        <v>0.969628502382398</v>
      </c>
      <c r="U17" s="17" t="n">
        <f aca="false">IFERROR((((AM17-AP17-N(AQ17))-(AS17-N(AV17))+(AN17-AM17-N(AR17))-(AT17-AS17-N(AU17))+(N(AQ17)+N(AR17))-(N(AU17)+N(AV17)))-((BF17-BI17-N(BJ17))-(BL17-N(BO17))+(BG17-BF17-N(BK17))-(BM17-BL17-N(BN17))+(N(BJ17)+N(BK17))-(N(BN17)+N(BO17))))/((AN17+BG17)/2),0)</f>
        <v>0.022598152584745</v>
      </c>
      <c r="V17" s="17" t="n">
        <f aca="false">IFERROR((AK17-BD17)/((AN17+BG17)/2),0)</f>
        <v>0.0111818524461116</v>
      </c>
      <c r="W17" s="17" t="n">
        <f aca="false">IFERROR((N(AL17)-N(BE17))/((AN17+BG17)/2),0)</f>
        <v>-0.00911578215576282</v>
      </c>
      <c r="X17" s="17" t="n">
        <f aca="false">IFERROR((AN17-N(AO17)-AP17)/AN17,0)</f>
        <v>0.427927158086863</v>
      </c>
      <c r="Y17" s="17" t="n">
        <f aca="false">IF(COUNT(BP17,BQ17,BR17,BS17)=4,IFERROR((AD17-(AK17-BD17))/(AW17-(BD17-BP17))-1,0),0)</f>
        <v>0</v>
      </c>
      <c r="Z17" s="17" t="n">
        <f aca="false">IF(COUNT(BP17,BQ17,BR17,BS17)=4,IFERROR(AH17/((AN17+BG17)/2)-BA17/((BG17+BR17)/2),0),0)</f>
        <v>0</v>
      </c>
      <c r="AA17" s="9" t="n">
        <f aca="false">IF(N(AJ17)&gt;0,1,0)</f>
        <v>1</v>
      </c>
      <c r="AB17" s="17" t="n">
        <f aca="false">Inputs!$C$24+Inputs!$C$25*U17+Inputs!$C$26*V17+Inputs!$C$27*W17+Inputs!$C$28*X17+Inputs!$C$29*Y17+Inputs!$C$30*Z17+Inputs!$C$31*AA17</f>
        <v>-5.98198060569235</v>
      </c>
      <c r="AD17" s="30" t="n">
        <v>772.831</v>
      </c>
      <c r="AE17" s="30" t="n">
        <v>538.515</v>
      </c>
      <c r="AF17" s="30" t="n">
        <v>68.367</v>
      </c>
      <c r="AG17" s="30" t="n">
        <v>51.224</v>
      </c>
      <c r="AH17" s="30" t="n">
        <v>21.793</v>
      </c>
      <c r="AI17" s="30" t="n">
        <v>104.531</v>
      </c>
      <c r="AJ17" s="30" t="n">
        <v>9.336</v>
      </c>
      <c r="AK17" s="30" t="n">
        <v>125.922</v>
      </c>
      <c r="AL17" s="30" t="n">
        <v>62.836</v>
      </c>
      <c r="AM17" s="30" t="n">
        <v>379.896</v>
      </c>
      <c r="AN17" s="30" t="n">
        <v>602.675</v>
      </c>
      <c r="AO17" s="30" t="n">
        <v>182.663</v>
      </c>
      <c r="AP17" s="30" t="n">
        <v>162.111</v>
      </c>
      <c r="AQ17" s="30" t="s">
        <v>185</v>
      </c>
      <c r="AR17" s="30" t="s">
        <v>185</v>
      </c>
      <c r="AS17" s="30" t="n">
        <v>137.639</v>
      </c>
      <c r="AT17" s="30" t="n">
        <v>436.005</v>
      </c>
      <c r="AU17" s="30" t="n">
        <v>201.389</v>
      </c>
      <c r="AV17" s="30" t="s">
        <v>185</v>
      </c>
      <c r="AW17" s="30" t="n">
        <v>770.405</v>
      </c>
      <c r="AX17" s="30" t="n">
        <v>526.847</v>
      </c>
      <c r="AY17" s="30" t="n">
        <v>66.64</v>
      </c>
      <c r="AZ17" s="30" t="n">
        <v>58.395</v>
      </c>
      <c r="BA17" s="30" t="n">
        <v>74.12</v>
      </c>
      <c r="BB17" s="30" t="n">
        <v>106.392</v>
      </c>
      <c r="BC17" s="30" t="n">
        <v>246.685</v>
      </c>
      <c r="BD17" s="30" t="n">
        <v>119.054</v>
      </c>
      <c r="BE17" s="30" t="n">
        <v>68.435</v>
      </c>
      <c r="BF17" s="30" t="n">
        <v>389.707</v>
      </c>
      <c r="BG17" s="30" t="n">
        <v>625.744</v>
      </c>
      <c r="BH17" s="30" t="n">
        <v>179.012</v>
      </c>
      <c r="BI17" s="30" t="n">
        <v>172.172</v>
      </c>
      <c r="BJ17" s="30" t="s">
        <v>185</v>
      </c>
      <c r="BK17" s="30" t="s">
        <v>185</v>
      </c>
      <c r="BL17" s="30" t="n">
        <v>116.149</v>
      </c>
      <c r="BM17" s="30" t="n">
        <v>462.893</v>
      </c>
      <c r="BN17" s="30" t="n">
        <v>246.882</v>
      </c>
      <c r="BO17" s="30" t="s">
        <v>185</v>
      </c>
      <c r="BP17" s="30" t="s">
        <v>185</v>
      </c>
      <c r="BQ17" s="30" t="s">
        <v>185</v>
      </c>
      <c r="BR17" s="30" t="s">
        <v>185</v>
      </c>
      <c r="BS17" s="30" t="s">
        <v>185</v>
      </c>
    </row>
    <row r="18" customFormat="false" ht="15" hidden="false" customHeight="false" outlineLevel="0" collapsed="false">
      <c r="B18" s="31" t="s">
        <v>207</v>
      </c>
      <c r="C18" s="31" t="s">
        <v>208</v>
      </c>
      <c r="D18" s="32" t="n">
        <v>2012</v>
      </c>
      <c r="E18" s="24" t="n">
        <v>41327</v>
      </c>
      <c r="F18" s="33" t="n">
        <v>1</v>
      </c>
      <c r="G18" s="26" t="n">
        <f aca="false">Inputs!$C$13+Inputs!$C$14*M18+Inputs!$C$15*N18+Inputs!$C$16*O18+Inputs!$C$17*P18+Inputs!$C$18*Q18+Inputs!$C$19*R18+Inputs!$C$20*S18+Inputs!$C$21*T18</f>
        <v>-1.48641341491685</v>
      </c>
      <c r="H18" s="26" t="n">
        <f aca="false">EXP(AB18)/(1+EXP(AB18))/Inputs!$C$32</f>
        <v>0.732846237183766</v>
      </c>
      <c r="I18" s="9" t="n">
        <f aca="false">IF(AND(F18=1,G18&gt;Inputs!$C$7),1,0)</f>
        <v>1</v>
      </c>
      <c r="J18" s="9" t="n">
        <f aca="false">IF(AND(F18=1,H18&gt;Inputs!$C$8),1,0)</f>
        <v>0</v>
      </c>
      <c r="K18" s="9" t="n">
        <f aca="false">MAX(I18,J18)</f>
        <v>1</v>
      </c>
      <c r="L18" s="9" t="n">
        <f aca="false">I18*J18</f>
        <v>0</v>
      </c>
      <c r="M18" s="17" t="n">
        <f aca="false">IFERROR((AK18/AD18)/(BD18/AW18),1)</f>
        <v>1.07331041017587</v>
      </c>
      <c r="N18" s="17" t="n">
        <f aca="false">IFERROR(((AW18-AX18)/AW18)/((AD18-AE18)/AD18),1)</f>
        <v>0.943045948324768</v>
      </c>
      <c r="O18" s="17" t="n">
        <f aca="false">IFERROR((1-(AM18+AO18)/AN18)/(1-(BF18+BH18)/BG18),1)</f>
        <v>1.80447196480553</v>
      </c>
      <c r="P18" s="17" t="n">
        <f aca="false">IFERROR(AD18/AW18,1)</f>
        <v>1.06050611323821</v>
      </c>
      <c r="Q18" s="17" t="n">
        <f aca="false">IFERROR((AZ18/(AZ18+BH18))/(AG18/(AG18+AO18)),1)</f>
        <v>1.83002941444929</v>
      </c>
      <c r="R18" s="17" t="n">
        <f aca="false">IFERROR((AF18/AD18)/(AY18/AW18),1)</f>
        <v>1.08920076580258</v>
      </c>
      <c r="S18" s="17" t="n">
        <f aca="false">IFERROR((AH18-AI18)/AN18,0)</f>
        <v>0.0913938068220658</v>
      </c>
      <c r="T18" s="17" t="n">
        <f aca="false">IFERROR(((AS18+N(AU18))/AN18)/((BL18+N(BN18))/BG18),1)</f>
        <v>0.787485788526354</v>
      </c>
      <c r="U18" s="17" t="n">
        <f aca="false">IFERROR((((AM18-AP18-N(AQ18))-(AS18-N(AV18))+(AN18-AM18-N(AR18))-(AT18-AS18-N(AU18))+(N(AQ18)+N(AR18))-(N(AU18)+N(AV18)))-((BF18-BI18-N(BJ18))-(BL18-N(BO18))+(BG18-BF18-N(BK18))-(BM18-BL18-N(BN18))+(N(BJ18)+N(BK18))-(N(BN18)+N(BO18))))/((AN18+BG18)/2),0)</f>
        <v>0.177378089543536</v>
      </c>
      <c r="V18" s="17" t="n">
        <f aca="false">IFERROR((AK18-BD18)/((AN18+BG18)/2),0)</f>
        <v>0.0250014181687886</v>
      </c>
      <c r="W18" s="17" t="n">
        <f aca="false">IFERROR((N(AL18)-N(BE18))/((AN18+BG18)/2),0)</f>
        <v>0.0380959629940523</v>
      </c>
      <c r="X18" s="17" t="n">
        <f aca="false">IFERROR((AN18-N(AO18)-AP18)/AN18,0)</f>
        <v>0.467706205077181</v>
      </c>
      <c r="Y18" s="17" t="n">
        <f aca="false">IF(COUNT(BP18,BQ18,BR18,BS18)=4,IFERROR((AD18-(AK18-BD18))/(AW18-(BD18-BP18))-1,0),0)</f>
        <v>0.0472868793923467</v>
      </c>
      <c r="Z18" s="17" t="n">
        <f aca="false">IF(COUNT(BP18,BQ18,BR18,BS18)=4,IFERROR(AH18/((AN18+BG18)/2)-BA18/((BG18+BR18)/2),0),0)</f>
        <v>0.242122109712798</v>
      </c>
      <c r="AA18" s="9" t="n">
        <f aca="false">IF(N(AJ18)&gt;0,1,0)</f>
        <v>1</v>
      </c>
      <c r="AB18" s="17" t="n">
        <f aca="false">Inputs!$C$24+Inputs!$C$25*U18+Inputs!$C$26*V18+Inputs!$C$27*W18+Inputs!$C$28*X18+Inputs!$C$29*Y18+Inputs!$C$30*Z18+Inputs!$C$31*AA18</f>
        <v>-5.90752661641418</v>
      </c>
      <c r="AD18" s="30" t="n">
        <v>819.592</v>
      </c>
      <c r="AE18" s="30" t="n">
        <v>556.091</v>
      </c>
      <c r="AF18" s="30" t="n">
        <v>78.971</v>
      </c>
      <c r="AG18" s="30" t="n">
        <v>32.39</v>
      </c>
      <c r="AH18" s="30" t="n">
        <v>193.301</v>
      </c>
      <c r="AI18" s="30" t="n">
        <v>121.103</v>
      </c>
      <c r="AJ18" s="30" t="n">
        <v>0.962</v>
      </c>
      <c r="AK18" s="30" t="n">
        <v>143.331</v>
      </c>
      <c r="AL18" s="30" t="n">
        <v>89.363</v>
      </c>
      <c r="AM18" s="30" t="n">
        <v>456.826</v>
      </c>
      <c r="AN18" s="30" t="n">
        <v>789.966</v>
      </c>
      <c r="AO18" s="30" t="n">
        <v>238.256</v>
      </c>
      <c r="AP18" s="30" t="n">
        <v>182.238</v>
      </c>
      <c r="AQ18" s="30" t="s">
        <v>185</v>
      </c>
      <c r="AR18" s="30" t="s">
        <v>185</v>
      </c>
      <c r="AS18" s="30" t="n">
        <v>148.295</v>
      </c>
      <c r="AT18" s="30" t="n">
        <v>479.657</v>
      </c>
      <c r="AU18" s="30" t="n">
        <v>201.653</v>
      </c>
      <c r="AV18" s="30" t="s">
        <v>185</v>
      </c>
      <c r="AW18" s="30" t="n">
        <v>772.831</v>
      </c>
      <c r="AX18" s="30" t="n">
        <v>538.515</v>
      </c>
      <c r="AY18" s="30" t="n">
        <v>68.367</v>
      </c>
      <c r="AZ18" s="30" t="n">
        <v>51.224</v>
      </c>
      <c r="BA18" s="30" t="n">
        <v>21.793</v>
      </c>
      <c r="BB18" s="30" t="n">
        <v>104.531</v>
      </c>
      <c r="BC18" s="30" t="n">
        <v>9.336</v>
      </c>
      <c r="BD18" s="30" t="n">
        <v>125.922</v>
      </c>
      <c r="BE18" s="30" t="n">
        <v>62.836</v>
      </c>
      <c r="BF18" s="30" t="n">
        <v>379.896</v>
      </c>
      <c r="BG18" s="30" t="n">
        <v>602.675</v>
      </c>
      <c r="BH18" s="30" t="n">
        <v>182.663</v>
      </c>
      <c r="BI18" s="30" t="n">
        <v>162.111</v>
      </c>
      <c r="BJ18" s="30" t="s">
        <v>185</v>
      </c>
      <c r="BK18" s="30" t="s">
        <v>185</v>
      </c>
      <c r="BL18" s="30" t="n">
        <v>137.639</v>
      </c>
      <c r="BM18" s="30" t="n">
        <v>436.005</v>
      </c>
      <c r="BN18" s="30" t="n">
        <v>201.389</v>
      </c>
      <c r="BO18" s="30" t="s">
        <v>185</v>
      </c>
      <c r="BP18" s="30" t="n">
        <v>119.054</v>
      </c>
      <c r="BQ18" s="30" t="n">
        <v>770.405</v>
      </c>
      <c r="BR18" s="30" t="n">
        <v>625.744</v>
      </c>
      <c r="BS18" s="30" t="n">
        <v>74.12</v>
      </c>
    </row>
    <row r="19" customFormat="false" ht="15" hidden="false" customHeight="false" outlineLevel="0" collapsed="false">
      <c r="B19" s="31" t="s">
        <v>207</v>
      </c>
      <c r="C19" s="31" t="s">
        <v>208</v>
      </c>
      <c r="D19" s="32" t="n">
        <v>2013</v>
      </c>
      <c r="E19" s="24" t="n">
        <v>42047</v>
      </c>
      <c r="F19" s="33" t="n">
        <v>1</v>
      </c>
      <c r="G19" s="26" t="n">
        <f aca="false">Inputs!$C$13+Inputs!$C$14*M19+Inputs!$C$15*N19+Inputs!$C$16*O19+Inputs!$C$17*P19+Inputs!$C$18*Q19+Inputs!$C$19*R19+Inputs!$C$20*S19+Inputs!$C$21*T19</f>
        <v>-3.66191418202262</v>
      </c>
      <c r="H19" s="26" t="n">
        <f aca="false">EXP(AB19)/(1+EXP(AB19))/Inputs!$C$32</f>
        <v>0.57667798767287</v>
      </c>
      <c r="I19" s="9" t="n">
        <f aca="false">IF(AND(F19=1,G19&gt;Inputs!$C$7),1,0)</f>
        <v>0</v>
      </c>
      <c r="J19" s="9" t="n">
        <f aca="false">IF(AND(F19=1,H19&gt;Inputs!$C$8),1,0)</f>
        <v>0</v>
      </c>
      <c r="K19" s="9" t="n">
        <f aca="false">MAX(I19,J19)</f>
        <v>0</v>
      </c>
      <c r="L19" s="9" t="n">
        <f aca="false">I19*J19</f>
        <v>0</v>
      </c>
      <c r="M19" s="17" t="n">
        <f aca="false">IFERROR((AK19/AD19)/(BD19/AW19),1)</f>
        <v>0.818621844269751</v>
      </c>
      <c r="N19" s="17" t="n">
        <f aca="false">IFERROR(((AW19-AX19)/AW19)/((AD19-AE19)/AD19),1)</f>
        <v>1.42649995920128</v>
      </c>
      <c r="O19" s="17" t="n">
        <f aca="false">IFERROR((1-(AM19+AO19)/AN19)/(1-(BF19+BH19)/BG19),1)</f>
        <v>0.787923791135976</v>
      </c>
      <c r="P19" s="17" t="n">
        <f aca="false">IFERROR(AD19/AW19,1)</f>
        <v>0.909382215087646</v>
      </c>
      <c r="Q19" s="17" t="n">
        <f aca="false">IFERROR((AZ19/(AZ19+BH19))/(AG19/(AG19+AO19)),1)</f>
        <v>1.0437043165322</v>
      </c>
      <c r="R19" s="17" t="n">
        <f aca="false">IFERROR((AF19/AD19)/(AY19/AW19),1)</f>
        <v>1.14074625966049</v>
      </c>
      <c r="S19" s="17" t="n">
        <f aca="false">IFERROR((AH19-AI19)/AN19,0)</f>
        <v>-0.21266814888274</v>
      </c>
      <c r="T19" s="17" t="n">
        <f aca="false">IFERROR(((AS19+N(AU19))/AN19)/((BL19+N(BN19))/BG19),1)</f>
        <v>1.18187087401664</v>
      </c>
      <c r="U19" s="17" t="n">
        <f aca="false">IFERROR((((AM19-AP19-N(AQ19))-(AS19-N(AV19))+(AN19-AM19-N(AR19))-(AT19-AS19-N(AU19))+(N(AQ19)+N(AR19))-(N(AU19)+N(AV19)))-((BF19-BI19-N(BJ19))-(BL19-N(BO19))+(BG19-BF19-N(BK19))-(BM19-BL19-N(BN19))+(N(BJ19)+N(BK19))-(N(BN19)+N(BO19))))/((AN19+BG19)/2),0)</f>
        <v>-0.124594160816456</v>
      </c>
      <c r="V19" s="17" t="n">
        <f aca="false">IFERROR((AK19-BD19)/((AN19+BG19)/2),0)</f>
        <v>-0.041479827495375</v>
      </c>
      <c r="W19" s="17" t="n">
        <f aca="false">IFERROR((N(AL19)-N(BE19))/((AN19+BG19)/2),0)</f>
        <v>-0.0117708677913772</v>
      </c>
      <c r="X19" s="17" t="n">
        <f aca="false">IFERROR((AN19-N(AO19)-AP19)/AN19,0)</f>
        <v>0.347553543722708</v>
      </c>
      <c r="Y19" s="17" t="n">
        <f aca="false">IF(COUNT(BP19,BQ19,BR19,BS19)=4,IFERROR((AD19-(AK19-BD19))/(AW19-(BD19-BP19))-1,0),0)</f>
        <v>-0.053127273858018</v>
      </c>
      <c r="Z19" s="17" t="n">
        <f aca="false">IF(COUNT(BP19,BQ19,BR19,BS19)=4,IFERROR(AH19/((AN19+BG19)/2)-BA19/((BG19+BR19)/2),0),0)</f>
        <v>-0.27297561941382</v>
      </c>
      <c r="AA19" s="9" t="n">
        <f aca="false">IF(N(AJ19)&gt;0,1,0)</f>
        <v>1</v>
      </c>
      <c r="AB19" s="17" t="n">
        <f aca="false">Inputs!$C$24+Inputs!$C$25*U19+Inputs!$C$26*V19+Inputs!$C$27*W19+Inputs!$C$28*X19+Inputs!$C$29*Y19+Inputs!$C$30*Z19+Inputs!$C$31*AA19</f>
        <v>-6.14775771972669</v>
      </c>
      <c r="AD19" s="30" t="n">
        <v>734.177</v>
      </c>
      <c r="AE19" s="30" t="n">
        <v>579.109</v>
      </c>
      <c r="AF19" s="30" t="n">
        <v>85.767</v>
      </c>
      <c r="AG19" s="30" t="n">
        <v>32.726</v>
      </c>
      <c r="AH19" s="30" t="n">
        <v>-64.203</v>
      </c>
      <c r="AI19" s="30" t="n">
        <v>68.755</v>
      </c>
      <c r="AJ19" s="30" t="n">
        <v>230.211</v>
      </c>
      <c r="AK19" s="30" t="n">
        <v>78.898</v>
      </c>
      <c r="AL19" s="30" t="n">
        <v>74.698</v>
      </c>
      <c r="AM19" s="30" t="n">
        <v>334.162</v>
      </c>
      <c r="AN19" s="30" t="n">
        <v>625.19</v>
      </c>
      <c r="AO19" s="30" t="n">
        <v>254.297</v>
      </c>
      <c r="AP19" s="30" t="n">
        <v>153.606</v>
      </c>
      <c r="AQ19" s="30" t="s">
        <v>185</v>
      </c>
      <c r="AR19" s="30" t="s">
        <v>185</v>
      </c>
      <c r="AS19" s="30" t="n">
        <v>162.095</v>
      </c>
      <c r="AT19" s="30" t="n">
        <v>543.649</v>
      </c>
      <c r="AU19" s="30" t="n">
        <v>223.923</v>
      </c>
      <c r="AV19" s="30" t="s">
        <v>185</v>
      </c>
      <c r="AW19" s="30" t="n">
        <v>807.336</v>
      </c>
      <c r="AX19" s="30" t="n">
        <v>564.089</v>
      </c>
      <c r="AY19" s="30" t="n">
        <v>82.677</v>
      </c>
      <c r="AZ19" s="30" t="n">
        <v>32.066</v>
      </c>
      <c r="BA19" s="30" t="n">
        <v>110.038</v>
      </c>
      <c r="BB19" s="30" t="n">
        <v>121.103</v>
      </c>
      <c r="BC19" s="30" t="n">
        <v>0.962</v>
      </c>
      <c r="BD19" s="30" t="n">
        <v>105.983</v>
      </c>
      <c r="BE19" s="30" t="n">
        <v>82.384</v>
      </c>
      <c r="BF19" s="30" t="n">
        <v>392.594</v>
      </c>
      <c r="BG19" s="30" t="n">
        <v>680.746</v>
      </c>
      <c r="BH19" s="30" t="n">
        <v>237.392</v>
      </c>
      <c r="BI19" s="30" t="n">
        <v>182.238</v>
      </c>
      <c r="BJ19" s="30" t="s">
        <v>185</v>
      </c>
      <c r="BK19" s="30" t="s">
        <v>185</v>
      </c>
      <c r="BL19" s="30" t="n">
        <v>153.987</v>
      </c>
      <c r="BM19" s="30" t="n">
        <v>489.217</v>
      </c>
      <c r="BN19" s="30" t="n">
        <v>201.653</v>
      </c>
      <c r="BO19" s="30" t="s">
        <v>185</v>
      </c>
      <c r="BP19" s="30" t="n">
        <v>102.622</v>
      </c>
      <c r="BQ19" s="30" t="n">
        <v>743.13</v>
      </c>
      <c r="BR19" s="30" t="n">
        <v>579.346</v>
      </c>
      <c r="BS19" s="30" t="n">
        <v>-11.301</v>
      </c>
    </row>
    <row r="20" customFormat="false" ht="15" hidden="false" customHeight="false" outlineLevel="0" collapsed="false">
      <c r="B20" s="31" t="s">
        <v>209</v>
      </c>
      <c r="C20" s="31" t="s">
        <v>210</v>
      </c>
      <c r="D20" s="32" t="n">
        <v>2011</v>
      </c>
      <c r="E20" s="24" t="n">
        <v>40968</v>
      </c>
      <c r="F20" s="33" t="n">
        <v>1</v>
      </c>
      <c r="G20" s="26" t="n">
        <f aca="false">Inputs!$C$13+Inputs!$C$14*M20+Inputs!$C$15*N20+Inputs!$C$16*O20+Inputs!$C$17*P20+Inputs!$C$18*Q20+Inputs!$C$19*R20+Inputs!$C$20*S20+Inputs!$C$21*T20</f>
        <v>-3.15514971495904</v>
      </c>
      <c r="H20" s="26" t="n">
        <f aca="false">EXP(AB20)/(1+EXP(AB20))/Inputs!$C$32</f>
        <v>1.68026958255358</v>
      </c>
      <c r="I20" s="9" t="n">
        <f aca="false">IF(AND(F20=1,G20&gt;Inputs!$C$7),1,0)</f>
        <v>0</v>
      </c>
      <c r="J20" s="9" t="n">
        <f aca="false">IF(AND(F20=1,H20&gt;Inputs!$C$8),1,0)</f>
        <v>0</v>
      </c>
      <c r="K20" s="9" t="n">
        <f aca="false">MAX(I20,J20)</f>
        <v>0</v>
      </c>
      <c r="L20" s="9" t="n">
        <f aca="false">I20*J20</f>
        <v>0</v>
      </c>
      <c r="M20" s="17" t="n">
        <f aca="false">IFERROR((AK20/AD20)/(BD20/AW20),1)</f>
        <v>1.06449563082071</v>
      </c>
      <c r="N20" s="17" t="n">
        <f aca="false">IFERROR(((AW20-AX20)/AW20)/((AD20-AE20)/AD20),1)</f>
        <v>1.00922770911392</v>
      </c>
      <c r="O20" s="17" t="n">
        <f aca="false">IFERROR((1-(AM20+AO20)/AN20)/(1-(BF20+BH20)/BG20),1)</f>
        <v>0.840703916125558</v>
      </c>
      <c r="P20" s="17" t="n">
        <f aca="false">IFERROR(AD20/AW20,1)</f>
        <v>1.02590144763187</v>
      </c>
      <c r="Q20" s="17" t="n">
        <f aca="false">IFERROR((AZ20/(AZ20+BH20))/(AG20/(AG20+AO20)),1)</f>
        <v>1.08824232860733</v>
      </c>
      <c r="R20" s="17" t="n">
        <f aca="false">IFERROR((AF20/AD20)/(AY20/AW20),1)</f>
        <v>0.976298950723391</v>
      </c>
      <c r="S20" s="17" t="n">
        <f aca="false">IFERROR((AH20-AI20)/AN20,0)</f>
        <v>-0.0946788948617715</v>
      </c>
      <c r="T20" s="17" t="n">
        <f aca="false">IFERROR(((AS20+N(AU20))/AN20)/((BL20+N(BN20))/BG20),1)</f>
        <v>1.82363393986481</v>
      </c>
      <c r="U20" s="17" t="n">
        <f aca="false">IFERROR((((AM20-AP20-N(AQ20))-(AS20-N(AV20))+(AN20-AM20-N(AR20))-(AT20-AS20-N(AU20))+(N(AQ20)+N(AR20))-(N(AU20)+N(AV20)))-((BF20-BI20-N(BJ20))-(BL20-N(BO20))+(BG20-BF20-N(BK20))-(BM20-BL20-N(BN20))+(N(BJ20)+N(BK20))-(N(BN20)+N(BO20))))/((AN20+BG20)/2),0)</f>
        <v>-0.00825830678547792</v>
      </c>
      <c r="V20" s="17" t="n">
        <f aca="false">IFERROR((AK20-BD20)/((AN20+BG20)/2),0)</f>
        <v>0.0190128814811395</v>
      </c>
      <c r="W20" s="17" t="n">
        <f aca="false">IFERROR((N(AL20)-N(BE20))/((AN20+BG20)/2),0)</f>
        <v>0.0102467026794096</v>
      </c>
      <c r="X20" s="17" t="n">
        <f aca="false">IFERROR((AN20-N(AO20)-AP20)/AN20,0)</f>
        <v>0.877318845059528</v>
      </c>
      <c r="Y20" s="17" t="n">
        <f aca="false">IF(COUNT(BP20,BQ20,BR20,BS20)=4,IFERROR((AD20-(AK20-BD20))/(AW20-(BD20-BP20))-1,0),0)</f>
        <v>0</v>
      </c>
      <c r="Z20" s="17" t="n">
        <f aca="false">IF(COUNT(BP20,BQ20,BR20,BS20)=4,IFERROR(AH20/((AN20+BG20)/2)-BA20/((BG20+BR20)/2),0),0)</f>
        <v>0</v>
      </c>
      <c r="AA20" s="9" t="n">
        <f aca="false">IF(N(AJ20)&gt;0,1,0)</f>
        <v>1</v>
      </c>
      <c r="AB20" s="17" t="n">
        <f aca="false">Inputs!$C$24+Inputs!$C$25*U20+Inputs!$C$26*V20+Inputs!$C$27*W20+Inputs!$C$28*X20+Inputs!$C$29*Y20+Inputs!$C$30*Z20+Inputs!$C$31*AA20</f>
        <v>-5.07423180952703</v>
      </c>
      <c r="AD20" s="30" t="n">
        <v>578.988</v>
      </c>
      <c r="AE20" s="30" t="n">
        <v>139.186</v>
      </c>
      <c r="AF20" s="30" t="n">
        <v>320.077</v>
      </c>
      <c r="AG20" s="30" t="n">
        <v>22.776</v>
      </c>
      <c r="AH20" s="30" t="n">
        <v>-1.073</v>
      </c>
      <c r="AI20" s="30" t="n">
        <v>64.781</v>
      </c>
      <c r="AJ20" s="30" t="n">
        <v>20.113</v>
      </c>
      <c r="AK20" s="30" t="n">
        <v>146.538</v>
      </c>
      <c r="AL20" s="30" t="n">
        <v>91.247</v>
      </c>
      <c r="AM20" s="30" t="n">
        <v>404.59</v>
      </c>
      <c r="AN20" s="30" t="n">
        <v>695.551</v>
      </c>
      <c r="AO20" s="30" t="n">
        <v>52.124</v>
      </c>
      <c r="AP20" s="30" t="n">
        <v>33.207</v>
      </c>
      <c r="AQ20" s="30" t="s">
        <v>185</v>
      </c>
      <c r="AR20" s="30" t="s">
        <v>185</v>
      </c>
      <c r="AS20" s="30" t="n">
        <v>175.412</v>
      </c>
      <c r="AT20" s="30" t="n">
        <v>380.38</v>
      </c>
      <c r="AU20" s="30" t="s">
        <v>185</v>
      </c>
      <c r="AV20" s="30" t="n">
        <v>17.5</v>
      </c>
      <c r="AW20" s="30" t="n">
        <v>564.37</v>
      </c>
      <c r="AX20" s="30" t="n">
        <v>131.716</v>
      </c>
      <c r="AY20" s="30" t="n">
        <v>319.57</v>
      </c>
      <c r="AZ20" s="30" t="n">
        <v>22.521</v>
      </c>
      <c r="BA20" s="30" t="s">
        <v>185</v>
      </c>
      <c r="BB20" s="30" t="n">
        <v>42.508</v>
      </c>
      <c r="BC20" s="30" t="n">
        <v>7.854</v>
      </c>
      <c r="BD20" s="30" t="n">
        <v>134.184</v>
      </c>
      <c r="BE20" s="30" t="n">
        <v>84.589</v>
      </c>
      <c r="BF20" s="30" t="n">
        <v>311.76</v>
      </c>
      <c r="BG20" s="30" t="n">
        <v>603.989</v>
      </c>
      <c r="BH20" s="30" t="n">
        <v>45.535</v>
      </c>
      <c r="BI20" s="30" t="n">
        <v>13.561</v>
      </c>
      <c r="BJ20" s="30" t="s">
        <v>185</v>
      </c>
      <c r="BK20" s="30" t="s">
        <v>185</v>
      </c>
      <c r="BL20" s="30" t="n">
        <v>83.526</v>
      </c>
      <c r="BM20" s="30" t="n">
        <v>303.098</v>
      </c>
      <c r="BN20" s="30" t="s">
        <v>185</v>
      </c>
      <c r="BO20" s="30" t="n">
        <v>7.5</v>
      </c>
      <c r="BP20" s="30" t="s">
        <v>185</v>
      </c>
      <c r="BQ20" s="30" t="n">
        <v>545.635</v>
      </c>
      <c r="BR20" s="30" t="s">
        <v>185</v>
      </c>
      <c r="BS20" s="30" t="s">
        <v>185</v>
      </c>
    </row>
    <row r="21" customFormat="false" ht="15" hidden="false" customHeight="false" outlineLevel="0" collapsed="false">
      <c r="B21" s="31" t="s">
        <v>209</v>
      </c>
      <c r="C21" s="31" t="s">
        <v>210</v>
      </c>
      <c r="D21" s="32" t="n">
        <v>2012</v>
      </c>
      <c r="E21" s="24" t="n">
        <v>41334</v>
      </c>
      <c r="F21" s="33" t="n">
        <v>1</v>
      </c>
      <c r="G21" s="26" t="n">
        <f aca="false">Inputs!$C$13+Inputs!$C$14*M21+Inputs!$C$15*N21+Inputs!$C$16*O21+Inputs!$C$17*P21+Inputs!$C$18*Q21+Inputs!$C$19*R21+Inputs!$C$20*S21+Inputs!$C$21*T21</f>
        <v>-1.61389976900464</v>
      </c>
      <c r="H21" s="26" t="n">
        <f aca="false">EXP(AB21)/(1+EXP(AB21))/Inputs!$C$32</f>
        <v>1.62643349239936</v>
      </c>
      <c r="I21" s="9" t="n">
        <f aca="false">IF(AND(F21=1,G21&gt;Inputs!$C$7),1,0)</f>
        <v>1</v>
      </c>
      <c r="J21" s="9" t="n">
        <f aca="false">IF(AND(F21=1,H21&gt;Inputs!$C$8),1,0)</f>
        <v>0</v>
      </c>
      <c r="K21" s="9" t="n">
        <f aca="false">MAX(I21,J21)</f>
        <v>1</v>
      </c>
      <c r="L21" s="9" t="n">
        <f aca="false">I21*J21</f>
        <v>0</v>
      </c>
      <c r="M21" s="17" t="n">
        <f aca="false">IFERROR((AK21/AD21)/(BD21/AW21),1)</f>
        <v>1.15075414191911</v>
      </c>
      <c r="N21" s="17" t="n">
        <f aca="false">IFERROR(((AW21-AX21)/AW21)/((AD21-AE21)/AD21),1)</f>
        <v>0.987786654194894</v>
      </c>
      <c r="O21" s="17" t="n">
        <f aca="false">IFERROR((1-(AM21+AO21)/AN21)/(1-(BF21+BH21)/BG21),1)</f>
        <v>1.40940104807782</v>
      </c>
      <c r="P21" s="17" t="n">
        <f aca="false">IFERROR(AD21/AW21,1)</f>
        <v>0.983406399629032</v>
      </c>
      <c r="Q21" s="17" t="n">
        <f aca="false">IFERROR((AZ21/(AZ21+BH21))/(AG21/(AG21+AO21)),1)</f>
        <v>1.21724676928349</v>
      </c>
      <c r="R21" s="17" t="n">
        <f aca="false">IFERROR((AF21/AD21)/(AY21/AW21),1)</f>
        <v>0.977089590536147</v>
      </c>
      <c r="S21" s="17" t="n">
        <f aca="false">IFERROR((AH21-AI21)/AN21,0)</f>
        <v>0.0847345031837408</v>
      </c>
      <c r="T21" s="17" t="n">
        <f aca="false">IFERROR(((AS21+N(AU21))/AN21)/((BL21+N(BN21))/BG21),1)</f>
        <v>0.517242122843306</v>
      </c>
      <c r="U21" s="17" t="n">
        <f aca="false">IFERROR((((AM21-AP21-N(AQ21))-(AS21-N(AV21))+(AN21-AM21-N(AR21))-(AT21-AS21-N(AU21))+(N(AQ21)+N(AR21))-(N(AU21)+N(AV21)))-((BF21-BI21-N(BJ21))-(BL21-N(BO21))+(BG21-BF21-N(BK21))-(BM21-BL21-N(BN21))+(N(BJ21)+N(BK21))-(N(BN21)+N(BO21))))/((AN21+BG21)/2),0)</f>
        <v>0.142426120141997</v>
      </c>
      <c r="V21" s="17" t="n">
        <f aca="false">IFERROR((AK21-BD21)/((AN21+BG21)/2),0)</f>
        <v>0.0289356055372768</v>
      </c>
      <c r="W21" s="17" t="n">
        <f aca="false">IFERROR((N(AL21)-N(BE21))/((AN21+BG21)/2),0)</f>
        <v>0.00955530203441068</v>
      </c>
      <c r="X21" s="17" t="n">
        <f aca="false">IFERROR((AN21-N(AO21)-AP21)/AN21,0)</f>
        <v>0.836565327664536</v>
      </c>
      <c r="Y21" s="17" t="n">
        <f aca="false">IF(COUNT(BP21,BQ21,BR21,BS21)=4,IFERROR((AD21-(AK21-BD21))/(AW21-(BD21-BP21))-1,0),0)</f>
        <v>-0.0565138914517569</v>
      </c>
      <c r="Z21" s="17" t="n">
        <f aca="false">IF(COUNT(BP21,BQ21,BR21,BS21)=4,IFERROR(AH21/((AN21+BG21)/2)-BA21/((BG21+BR21)/2),0),0)</f>
        <v>0.0919019975944448</v>
      </c>
      <c r="AA21" s="9" t="n">
        <f aca="false">IF(N(AJ21)&gt;0,1,0)</f>
        <v>1</v>
      </c>
      <c r="AB21" s="17" t="n">
        <f aca="false">Inputs!$C$24+Inputs!$C$25*U21+Inputs!$C$26*V21+Inputs!$C$27*W21+Inputs!$C$28*X21+Inputs!$C$29*Y21+Inputs!$C$30*Z21+Inputs!$C$31*AA21</f>
        <v>-5.10699689937013</v>
      </c>
      <c r="AD21" s="30" t="n">
        <v>462.32</v>
      </c>
      <c r="AE21" s="30" t="n">
        <v>86.492</v>
      </c>
      <c r="AF21" s="30" t="n">
        <v>254.17</v>
      </c>
      <c r="AG21" s="30" t="n">
        <v>20.261</v>
      </c>
      <c r="AH21" s="30" t="n">
        <v>53.936</v>
      </c>
      <c r="AI21" s="30" t="n">
        <v>11.206</v>
      </c>
      <c r="AJ21" s="30" t="n">
        <v>25.586</v>
      </c>
      <c r="AK21" s="30" t="n">
        <v>150.316</v>
      </c>
      <c r="AL21" s="30" t="n">
        <v>88.744</v>
      </c>
      <c r="AM21" s="30" t="n">
        <v>340.444</v>
      </c>
      <c r="AN21" s="30" t="n">
        <v>504.281</v>
      </c>
      <c r="AO21" s="30" t="n">
        <v>51.362</v>
      </c>
      <c r="AP21" s="30" t="n">
        <v>31.055</v>
      </c>
      <c r="AQ21" s="30" t="s">
        <v>185</v>
      </c>
      <c r="AR21" s="30" t="s">
        <v>185</v>
      </c>
      <c r="AS21" s="30" t="n">
        <v>68.797</v>
      </c>
      <c r="AT21" s="30" t="n">
        <v>105.183</v>
      </c>
      <c r="AU21" s="30" t="s">
        <v>185</v>
      </c>
      <c r="AV21" s="30" t="s">
        <v>185</v>
      </c>
      <c r="AW21" s="30" t="n">
        <v>470.121</v>
      </c>
      <c r="AX21" s="30" t="n">
        <v>92.619</v>
      </c>
      <c r="AY21" s="30" t="n">
        <v>264.519</v>
      </c>
      <c r="AZ21" s="30" t="n">
        <v>22.776</v>
      </c>
      <c r="BA21" s="30" t="n">
        <v>-1.74</v>
      </c>
      <c r="BB21" s="30" t="n">
        <v>64.781</v>
      </c>
      <c r="BC21" s="30" t="n">
        <v>20.113</v>
      </c>
      <c r="BD21" s="30" t="n">
        <v>132.828</v>
      </c>
      <c r="BE21" s="30" t="n">
        <v>82.969</v>
      </c>
      <c r="BF21" s="30" t="n">
        <v>549.62</v>
      </c>
      <c r="BG21" s="30" t="n">
        <v>704.472</v>
      </c>
      <c r="BH21" s="30" t="n">
        <v>43.368</v>
      </c>
      <c r="BI21" s="30" t="n">
        <v>33.207</v>
      </c>
      <c r="BJ21" s="30" t="s">
        <v>185</v>
      </c>
      <c r="BK21" s="30" t="s">
        <v>185</v>
      </c>
      <c r="BL21" s="30" t="n">
        <v>185.809</v>
      </c>
      <c r="BM21" s="30" t="n">
        <v>389.301</v>
      </c>
      <c r="BN21" s="30" t="s">
        <v>185</v>
      </c>
      <c r="BO21" s="30" t="n">
        <v>17.5</v>
      </c>
      <c r="BP21" s="30" t="n">
        <v>134.184</v>
      </c>
      <c r="BQ21" s="30" t="n">
        <v>460.629</v>
      </c>
      <c r="BR21" s="30" t="n">
        <v>603.989</v>
      </c>
      <c r="BS21" s="30" t="n">
        <v>27.758</v>
      </c>
    </row>
    <row r="22" customFormat="false" ht="15" hidden="false" customHeight="false" outlineLevel="0" collapsed="false">
      <c r="B22" s="31" t="s">
        <v>211</v>
      </c>
      <c r="C22" s="31" t="s">
        <v>212</v>
      </c>
      <c r="D22" s="32" t="n">
        <v>2018</v>
      </c>
      <c r="E22" s="24" t="n">
        <v>43542</v>
      </c>
      <c r="F22" s="33" t="n">
        <v>1</v>
      </c>
      <c r="G22" s="26" t="n">
        <f aca="false">Inputs!$C$13+Inputs!$C$14*M22+Inputs!$C$15*N22+Inputs!$C$16*O22+Inputs!$C$17*P22+Inputs!$C$18*Q22+Inputs!$C$19*R22+Inputs!$C$20*S22+Inputs!$C$21*T22</f>
        <v>2.56202371584179</v>
      </c>
      <c r="H22" s="26" t="n">
        <f aca="false">EXP(AB22)/(1+EXP(AB22))/Inputs!$C$32</f>
        <v>4.95828565795372</v>
      </c>
      <c r="I22" s="9" t="n">
        <f aca="false">IF(AND(F22=1,G22&gt;Inputs!$C$7),1,0)</f>
        <v>1</v>
      </c>
      <c r="J22" s="9" t="n">
        <f aca="false">IF(AND(F22=1,H22&gt;Inputs!$C$8),1,0)</f>
        <v>1</v>
      </c>
      <c r="K22" s="9" t="n">
        <f aca="false">MAX(I22,J22)</f>
        <v>1</v>
      </c>
      <c r="L22" s="9" t="n">
        <f aca="false">I22*J22</f>
        <v>1</v>
      </c>
      <c r="M22" s="17" t="n">
        <f aca="false">IFERROR((AK22/AD22)/(BD22/AW22),1)</f>
        <v>3.11721395466395</v>
      </c>
      <c r="N22" s="17" t="n">
        <f aca="false">IFERROR(((AW22-AX22)/AW22)/((AD22-AE22)/AD22),1)</f>
        <v>1.06831914605072</v>
      </c>
      <c r="O22" s="17" t="n">
        <f aca="false">IFERROR((1-(AM22+AO22)/AN22)/(1-(BF22+BH22)/BG22),1)</f>
        <v>5.32354163597653</v>
      </c>
      <c r="P22" s="17" t="n">
        <f aca="false">IFERROR(AD22/AW22,1)</f>
        <v>2.3942217560766</v>
      </c>
      <c r="Q22" s="17" t="n">
        <f aca="false">IFERROR((AZ22/(AZ22+BH22))/(AG22/(AG22+AO22)),1)</f>
        <v>0.901538639597088</v>
      </c>
      <c r="R22" s="17" t="n">
        <f aca="false">IFERROR((AF22/AD22)/(AY22/AW22),1)</f>
        <v>0.750392060601899</v>
      </c>
      <c r="S22" s="17" t="n">
        <f aca="false">IFERROR((AH22-AI22)/AN22,0)</f>
        <v>-0.0329910117516164</v>
      </c>
      <c r="T22" s="17" t="n">
        <f aca="false">IFERROR(((AS22+N(AU22))/AN22)/((BL22+N(BN22))/BG22),1)</f>
        <v>0.417390899275216</v>
      </c>
      <c r="U22" s="17" t="n">
        <f aca="false">IFERROR((((AM22-AP22-N(AQ22))-(AS22-N(AV22))+(AN22-AM22-N(AR22))-(AT22-AS22-N(AU22))+(N(AQ22)+N(AR22))-(N(AU22)+N(AV22)))-((BF22-BI22-N(BJ22))-(BL22-N(BO22))+(BG22-BF22-N(BK22))-(BM22-BL22-N(BN22))+(N(BJ22)+N(BK22))-(N(BN22)+N(BO22))))/((AN22+BG22)/2),0)</f>
        <v>1.33209407734888</v>
      </c>
      <c r="V22" s="17" t="n">
        <f aca="false">IFERROR((AK22-BD22)/((AN22+BG22)/2),0)</f>
        <v>0.142764500098539</v>
      </c>
      <c r="W22" s="17" t="n">
        <f aca="false">IFERROR((N(AL22)-N(BE22))/((AN22+BG22)/2),0)</f>
        <v>0</v>
      </c>
      <c r="X22" s="17" t="n">
        <f aca="false">IFERROR((AN22-N(AO22)-AP22)/AN22,0)</f>
        <v>0.934147527222946</v>
      </c>
      <c r="Y22" s="17" t="n">
        <f aca="false">IF(COUNT(BP22,BQ22,BR22,BS22)=4,IFERROR((AD22-(AK22-BD22))/(AW22-(BD22-BP22))-1,0),0)</f>
        <v>0.58068366929549</v>
      </c>
      <c r="Z22" s="17" t="n">
        <f aca="false">IF(COUNT(BP22,BQ22,BR22,BS22)=4,IFERROR(AH22/((AN22+BG22)/2)-BA22/((BG22+BR22)/2),0),0)</f>
        <v>0.510361140126709</v>
      </c>
      <c r="AA22" s="9" t="n">
        <f aca="false">IF(N(AJ22)&gt;0,1,0)</f>
        <v>1</v>
      </c>
      <c r="AB22" s="17" t="n">
        <f aca="false">Inputs!$C$24+Inputs!$C$25*U22+Inputs!$C$26*V22+Inputs!$C$27*W22+Inputs!$C$28*X22+Inputs!$C$29*Y22+Inputs!$C$30*Z22+Inputs!$C$31*AA22</f>
        <v>-3.97984638642062</v>
      </c>
      <c r="AD22" s="30" t="n">
        <v>32.435736</v>
      </c>
      <c r="AE22" s="30" t="n">
        <v>10.329646</v>
      </c>
      <c r="AF22" s="30" t="n">
        <v>20.970146</v>
      </c>
      <c r="AG22" s="30" t="n">
        <v>5.427029</v>
      </c>
      <c r="AH22" s="30" t="n">
        <v>-12.97465</v>
      </c>
      <c r="AI22" s="30" t="n">
        <v>-7.661739</v>
      </c>
      <c r="AJ22" s="30" t="n">
        <v>12.200002</v>
      </c>
      <c r="AK22" s="30" t="n">
        <v>15.361594</v>
      </c>
      <c r="AL22" s="30" t="s">
        <v>185</v>
      </c>
      <c r="AM22" s="30" t="n">
        <v>23.927908</v>
      </c>
      <c r="AN22" s="30" t="n">
        <v>161.041166</v>
      </c>
      <c r="AO22" s="30" t="n">
        <v>4.55325</v>
      </c>
      <c r="AP22" s="30" t="n">
        <v>6.051709</v>
      </c>
      <c r="AQ22" s="30" t="s">
        <v>185</v>
      </c>
      <c r="AR22" s="30" t="n">
        <v>0</v>
      </c>
      <c r="AS22" s="30" t="n">
        <v>20.005976</v>
      </c>
      <c r="AT22" s="30" t="n">
        <v>28.976502</v>
      </c>
      <c r="AU22" s="30" t="s">
        <v>185</v>
      </c>
      <c r="AV22" s="30" t="s">
        <v>185</v>
      </c>
      <c r="AW22" s="30" t="n">
        <v>13.547507</v>
      </c>
      <c r="AX22" s="30" t="n">
        <v>3.683609</v>
      </c>
      <c r="AY22" s="30" t="n">
        <v>11.672096</v>
      </c>
      <c r="AZ22" s="30" t="n">
        <v>4.533109</v>
      </c>
      <c r="BA22" s="30" t="n">
        <v>-12.462979</v>
      </c>
      <c r="BB22" s="30" t="n">
        <v>-2.61616</v>
      </c>
      <c r="BC22" s="30" t="n">
        <v>24.242171</v>
      </c>
      <c r="BD22" s="30" t="n">
        <v>2.058284</v>
      </c>
      <c r="BE22" s="30" t="s">
        <v>185</v>
      </c>
      <c r="BF22" s="30" t="n">
        <v>16.696328</v>
      </c>
      <c r="BG22" s="30" t="n">
        <v>25.326033</v>
      </c>
      <c r="BH22" s="30" t="n">
        <v>4.71371</v>
      </c>
      <c r="BI22" s="30" t="n">
        <v>13.537899</v>
      </c>
      <c r="BJ22" s="30" t="s">
        <v>185</v>
      </c>
      <c r="BK22" s="30" t="n">
        <v>3.230208</v>
      </c>
      <c r="BL22" s="30" t="n">
        <v>7.537842</v>
      </c>
      <c r="BM22" s="30" t="n">
        <v>9.9045</v>
      </c>
      <c r="BN22" s="30" t="s">
        <v>185</v>
      </c>
      <c r="BO22" s="30" t="s">
        <v>185</v>
      </c>
      <c r="BP22" s="30" t="n">
        <v>0.61467</v>
      </c>
      <c r="BQ22" s="30" t="n">
        <v>12.855811</v>
      </c>
      <c r="BR22" s="30" t="n">
        <v>13.045289</v>
      </c>
      <c r="BS22" s="30" t="n">
        <v>-31.444704</v>
      </c>
    </row>
    <row r="23" customFormat="false" ht="15" hidden="false" customHeight="false" outlineLevel="0" collapsed="false">
      <c r="B23" s="31" t="s">
        <v>213</v>
      </c>
      <c r="C23" s="31" t="s">
        <v>214</v>
      </c>
      <c r="D23" s="32" t="n">
        <v>2013</v>
      </c>
      <c r="E23" s="24" t="n">
        <v>41697</v>
      </c>
      <c r="F23" s="33" t="n">
        <v>1</v>
      </c>
      <c r="G23" s="26" t="n">
        <f aca="false">Inputs!$C$13+Inputs!$C$14*M23+Inputs!$C$15*N23+Inputs!$C$16*O23+Inputs!$C$17*P23+Inputs!$C$18*Q23+Inputs!$C$19*R23+Inputs!$C$20*S23+Inputs!$C$21*T23</f>
        <v>-2.61746360777951</v>
      </c>
      <c r="H23" s="26" t="n">
        <f aca="false">EXP(AB23)/(1+EXP(AB23))/Inputs!$C$32</f>
        <v>1.6271896963185</v>
      </c>
      <c r="I23" s="9" t="n">
        <f aca="false">IF(AND(F23=1,G23&gt;Inputs!$C$7),1,0)</f>
        <v>0</v>
      </c>
      <c r="J23" s="9" t="n">
        <f aca="false">IF(AND(F23=1,H23&gt;Inputs!$C$8),1,0)</f>
        <v>0</v>
      </c>
      <c r="K23" s="9" t="n">
        <f aca="false">MAX(I23,J23)</f>
        <v>0</v>
      </c>
      <c r="L23" s="9" t="n">
        <f aca="false">I23*J23</f>
        <v>0</v>
      </c>
      <c r="M23" s="17" t="n">
        <f aca="false">IFERROR((AK23/AD23)/(BD23/AW23),1)</f>
        <v>0.970768352621352</v>
      </c>
      <c r="N23" s="17" t="n">
        <f aca="false">IFERROR(((AW23-AX23)/AW23)/((AD23-AE23)/AD23),1)</f>
        <v>1</v>
      </c>
      <c r="O23" s="17" t="n">
        <f aca="false">IFERROR((1-(AM23+AO23)/AN23)/(1-(BF23+BH23)/BG23),1)</f>
        <v>0.978725995521794</v>
      </c>
      <c r="P23" s="17" t="n">
        <f aca="false">IFERROR(AD23/AW23,1)</f>
        <v>1.22273598290647</v>
      </c>
      <c r="Q23" s="17" t="n">
        <f aca="false">IFERROR((AZ23/(AZ23+BH23))/(AG23/(AG23+AO23)),1)</f>
        <v>0.923503519335099</v>
      </c>
      <c r="R23" s="17" t="n">
        <f aca="false">IFERROR((AF23/AD23)/(AY23/AW23),1)</f>
        <v>1.03562595558163</v>
      </c>
      <c r="S23" s="17" t="n">
        <f aca="false">IFERROR((AH23-AI23)/AN23,0)</f>
        <v>-0.0366202432422416</v>
      </c>
      <c r="T23" s="17" t="n">
        <f aca="false">IFERROR(((AS23+N(AU23))/AN23)/((BL23+N(BN23))/BG23),1)</f>
        <v>1.34980248736261</v>
      </c>
      <c r="U23" s="17" t="n">
        <f aca="false">IFERROR((((AM23-AP23-N(AQ23))-(AS23-N(AV23))+(AN23-AM23-N(AR23))-(AT23-AS23-N(AU23))+(N(AQ23)+N(AR23))-(N(AU23)+N(AV23)))-((BF23-BI23-N(BJ23))-(BL23-N(BO23))+(BG23-BF23-N(BK23))-(BM23-BL23-N(BN23))+(N(BJ23)+N(BK23))-(N(BN23)+N(BO23))))/((AN23+BG23)/2),0)</f>
        <v>-0.0891119542517576</v>
      </c>
      <c r="V23" s="17" t="n">
        <f aca="false">IFERROR((AK23-BD23)/((AN23+BG23)/2),0)</f>
        <v>0.00596825268460924</v>
      </c>
      <c r="W23" s="17" t="n">
        <f aca="false">IFERROR((N(AL23)-N(BE23))/((AN23+BG23)/2),0)</f>
        <v>0</v>
      </c>
      <c r="X23" s="17" t="n">
        <f aca="false">IFERROR((AN23-N(AO23)-AP23)/AN23,0)</f>
        <v>0.899438289850269</v>
      </c>
      <c r="Y23" s="17" t="n">
        <f aca="false">IF(COUNT(BP23,BQ23,BR23,BS23)=4,IFERROR((AD23-(AK23-BD23))/(AW23-(BD23-BP23))-1,0),0)</f>
        <v>0.196552357870192</v>
      </c>
      <c r="Z23" s="17" t="n">
        <f aca="false">IF(COUNT(BP23,BQ23,BR23,BS23)=4,IFERROR(AH23/((AN23+BG23)/2)-BA23/((BG23+BR23)/2),0),0)</f>
        <v>0.000812973852437449</v>
      </c>
      <c r="AA23" s="9" t="n">
        <f aca="false">IF(N(AJ23)&gt;0,1,0)</f>
        <v>1</v>
      </c>
      <c r="AB23" s="17" t="n">
        <f aca="false">Inputs!$C$24+Inputs!$C$25*U23+Inputs!$C$26*V23+Inputs!$C$27*W23+Inputs!$C$28*X23+Inputs!$C$29*Y23+Inputs!$C$30*Z23+Inputs!$C$31*AA23</f>
        <v>-5.10652924642003</v>
      </c>
      <c r="AD23" s="30" t="n">
        <v>432.626</v>
      </c>
      <c r="AE23" s="30" t="s">
        <v>185</v>
      </c>
      <c r="AF23" s="30" t="n">
        <v>175.215</v>
      </c>
      <c r="AG23" s="30" t="n">
        <v>2.702</v>
      </c>
      <c r="AH23" s="30" t="n">
        <v>128.048</v>
      </c>
      <c r="AI23" s="30" t="n">
        <v>232.789</v>
      </c>
      <c r="AJ23" s="30" t="n">
        <v>662.188</v>
      </c>
      <c r="AK23" s="30" t="n">
        <v>101.19</v>
      </c>
      <c r="AL23" s="30" t="s">
        <v>185</v>
      </c>
      <c r="AM23" s="30" t="n">
        <v>476.628</v>
      </c>
      <c r="AN23" s="30" t="n">
        <v>2860.194</v>
      </c>
      <c r="AO23" s="30" t="n">
        <v>8.837</v>
      </c>
      <c r="AP23" s="30" t="n">
        <v>278.789</v>
      </c>
      <c r="AQ23" s="30" t="s">
        <v>185</v>
      </c>
      <c r="AR23" s="30" t="s">
        <v>185</v>
      </c>
      <c r="AS23" s="30" t="n">
        <v>127.858</v>
      </c>
      <c r="AT23" s="30" t="n">
        <v>1758.252</v>
      </c>
      <c r="AU23" s="30" t="n">
        <v>1366.069</v>
      </c>
      <c r="AV23" s="30" t="n">
        <v>61.25</v>
      </c>
      <c r="AW23" s="30" t="n">
        <v>353.818</v>
      </c>
      <c r="AX23" s="30" t="s">
        <v>185</v>
      </c>
      <c r="AY23" s="30" t="n">
        <v>138.368</v>
      </c>
      <c r="AZ23" s="30" t="n">
        <v>2.784</v>
      </c>
      <c r="BA23" s="30" t="n">
        <v>109.408</v>
      </c>
      <c r="BB23" s="30" t="n">
        <v>204.434</v>
      </c>
      <c r="BC23" s="30" t="n">
        <v>750</v>
      </c>
      <c r="BD23" s="30" t="n">
        <v>85.249</v>
      </c>
      <c r="BE23" s="30" t="s">
        <v>185</v>
      </c>
      <c r="BF23" s="30" t="n">
        <v>366.351</v>
      </c>
      <c r="BG23" s="30" t="n">
        <v>2481.738</v>
      </c>
      <c r="BH23" s="30" t="n">
        <v>10.09</v>
      </c>
      <c r="BI23" s="30" t="n">
        <v>238.672</v>
      </c>
      <c r="BJ23" s="30" t="s">
        <v>185</v>
      </c>
      <c r="BK23" s="30" t="s">
        <v>185</v>
      </c>
      <c r="BL23" s="30" t="n">
        <v>100.61</v>
      </c>
      <c r="BM23" s="30" t="n">
        <v>1181.898</v>
      </c>
      <c r="BN23" s="30" t="n">
        <v>859.718</v>
      </c>
      <c r="BO23" s="30" t="n">
        <v>52</v>
      </c>
      <c r="BP23" s="30" t="n">
        <v>79.669</v>
      </c>
      <c r="BQ23" s="30" t="n">
        <v>369.845</v>
      </c>
      <c r="BR23" s="30" t="n">
        <v>2161.303</v>
      </c>
      <c r="BS23" s="30" t="n">
        <v>126.105</v>
      </c>
    </row>
    <row r="24" customFormat="false" ht="15" hidden="false" customHeight="false" outlineLevel="0" collapsed="false">
      <c r="B24" s="31" t="s">
        <v>213</v>
      </c>
      <c r="C24" s="31" t="s">
        <v>214</v>
      </c>
      <c r="D24" s="32" t="n">
        <v>2014</v>
      </c>
      <c r="E24" s="24" t="n">
        <v>42065</v>
      </c>
      <c r="F24" s="33" t="n">
        <v>1</v>
      </c>
      <c r="G24" s="26" t="n">
        <f aca="false">Inputs!$C$13+Inputs!$C$14*M24+Inputs!$C$15*N24+Inputs!$C$16*O24+Inputs!$C$17*P24+Inputs!$C$18*Q24+Inputs!$C$19*R24+Inputs!$C$20*S24+Inputs!$C$21*T24</f>
        <v>-2.23085081017969</v>
      </c>
      <c r="H24" s="26" t="n">
        <f aca="false">EXP(AB24)/(1+EXP(AB24))/Inputs!$C$32</f>
        <v>0.700302938524927</v>
      </c>
      <c r="I24" s="9" t="n">
        <f aca="false">IF(AND(F24=1,G24&gt;Inputs!$C$7),1,0)</f>
        <v>0</v>
      </c>
      <c r="J24" s="9" t="n">
        <f aca="false">IF(AND(F24=1,H24&gt;Inputs!$C$8),1,0)</f>
        <v>0</v>
      </c>
      <c r="K24" s="9" t="n">
        <f aca="false">MAX(I24,J24)</f>
        <v>0</v>
      </c>
      <c r="L24" s="9" t="n">
        <f aca="false">I24*J24</f>
        <v>0</v>
      </c>
      <c r="M24" s="17" t="n">
        <f aca="false">IFERROR((AK24/AD24)/(BD24/AW24),1)</f>
        <v>1.2272368422096</v>
      </c>
      <c r="N24" s="17" t="n">
        <f aca="false">IFERROR(((AW24-AX24)/AW24)/((AD24-AE24)/AD24),1)</f>
        <v>1</v>
      </c>
      <c r="O24" s="17" t="n">
        <f aca="false">IFERROR((1-(AM24+AO24)/AN24)/(1-(BF24+BH24)/BG24),1)</f>
        <v>1.0369422560043</v>
      </c>
      <c r="P24" s="17" t="n">
        <f aca="false">IFERROR(AD24/AW24,1)</f>
        <v>1.0661472033581</v>
      </c>
      <c r="Q24" s="17" t="n">
        <f aca="false">IFERROR((AZ24/(AZ24+BH24))/(AG24/(AG24+AO24)),1)</f>
        <v>0.931525915866729</v>
      </c>
      <c r="R24" s="17" t="n">
        <f aca="false">IFERROR((AF24/AD24)/(AY24/AW24),1)</f>
        <v>1.09959593979173</v>
      </c>
      <c r="S24" s="17" t="n">
        <f aca="false">IFERROR((AH24-AI24)/AN24,0)</f>
        <v>-0.00340538409147937</v>
      </c>
      <c r="T24" s="17" t="n">
        <f aca="false">IFERROR(((AS24+N(AU24))/AN24)/((BL24+N(BN24))/BG24),1)</f>
        <v>0.978280942966828</v>
      </c>
      <c r="U24" s="17" t="n">
        <f aca="false">IFERROR((((AM24-AP24-N(AQ24))-(AS24-N(AV24))+(AN24-AM24-N(AR24))-(AT24-AS24-N(AU24))+(N(AQ24)+N(AR24))-(N(AU24)+N(AV24)))-((BF24-BI24-N(BJ24))-(BL24-N(BO24))+(BG24-BF24-N(BK24))-(BM24-BL24-N(BN24))+(N(BJ24)+N(BK24))-(N(BN24)+N(BO24))))/((AN24+BG24)/2),0)</f>
        <v>0.0409892795686798</v>
      </c>
      <c r="V24" s="17" t="n">
        <f aca="false">IFERROR((AK24-BD24)/((AN24+BG24)/2),0)</f>
        <v>0.00975921948553294</v>
      </c>
      <c r="W24" s="17" t="n">
        <f aca="false">IFERROR((N(AL24)-N(BE24))/((AN24+BG24)/2),0)</f>
        <v>0</v>
      </c>
      <c r="X24" s="17" t="n">
        <f aca="false">IFERROR((AN24-N(AO24)-AP24)/AN24,0)</f>
        <v>0.952746772019541</v>
      </c>
      <c r="Y24" s="17" t="n">
        <f aca="false">IF(COUNT(BP24,BQ24,BR24,BS24)=4,IFERROR((AD24-(AK24-BD24))/(AW24-(BD24-BP24))-1,0),0)</f>
        <v>0.0143948227338926</v>
      </c>
      <c r="Z24" s="17" t="n">
        <f aca="false">IF(COUNT(BP24,BQ24,BR24,BS24)=4,IFERROR(AH24/((AN24+BG24)/2)-BA24/((BG24+BR24)/2),0),0)</f>
        <v>0.00533569309938285</v>
      </c>
      <c r="AA24" s="9" t="n">
        <f aca="false">IF(N(AJ24)&gt;0,1,0)</f>
        <v>0</v>
      </c>
      <c r="AB24" s="17" t="n">
        <f aca="false">Inputs!$C$24+Inputs!$C$25*U24+Inputs!$C$26*V24+Inputs!$C$27*W24+Inputs!$C$28*X24+Inputs!$C$29*Y24+Inputs!$C$30*Z24+Inputs!$C$31*AA24</f>
        <v>-5.95307024393063</v>
      </c>
      <c r="AD24" s="30" t="n">
        <v>461.243</v>
      </c>
      <c r="AE24" s="30" t="s">
        <v>185</v>
      </c>
      <c r="AF24" s="30" t="n">
        <v>205.41</v>
      </c>
      <c r="AG24" s="30" t="n">
        <v>2.605</v>
      </c>
      <c r="AH24" s="30" t="n">
        <v>152.736</v>
      </c>
      <c r="AI24" s="30" t="n">
        <v>162.521</v>
      </c>
      <c r="AJ24" s="30" t="s">
        <v>185</v>
      </c>
      <c r="AK24" s="30" t="n">
        <v>118.774</v>
      </c>
      <c r="AL24" s="30" t="s">
        <v>185</v>
      </c>
      <c r="AM24" s="30" t="n">
        <v>385.268</v>
      </c>
      <c r="AN24" s="30" t="n">
        <v>2873.391</v>
      </c>
      <c r="AO24" s="30" t="n">
        <v>7.758</v>
      </c>
      <c r="AP24" s="30" t="n">
        <v>128.019</v>
      </c>
      <c r="AQ24" s="30" t="s">
        <v>185</v>
      </c>
      <c r="AR24" s="30" t="s">
        <v>185</v>
      </c>
      <c r="AS24" s="30" t="n">
        <v>137.128</v>
      </c>
      <c r="AT24" s="30" t="n">
        <v>1804.63</v>
      </c>
      <c r="AU24" s="30" t="n">
        <v>1332.954</v>
      </c>
      <c r="AV24" s="30" t="n">
        <v>61.123</v>
      </c>
      <c r="AW24" s="30" t="n">
        <v>432.626</v>
      </c>
      <c r="AX24" s="30" t="s">
        <v>185</v>
      </c>
      <c r="AY24" s="30" t="n">
        <v>175.215</v>
      </c>
      <c r="AZ24" s="30" t="n">
        <v>2.702</v>
      </c>
      <c r="BA24" s="30" t="n">
        <v>128.048</v>
      </c>
      <c r="BB24" s="30" t="n">
        <v>232.789</v>
      </c>
      <c r="BC24" s="30" t="n">
        <v>392</v>
      </c>
      <c r="BD24" s="30" t="n">
        <v>90.777</v>
      </c>
      <c r="BE24" s="30" t="s">
        <v>185</v>
      </c>
      <c r="BF24" s="30" t="n">
        <v>471.008</v>
      </c>
      <c r="BG24" s="30" t="n">
        <v>2864.158</v>
      </c>
      <c r="BH24" s="30" t="n">
        <v>8.837</v>
      </c>
      <c r="BI24" s="30" t="n">
        <v>278.789</v>
      </c>
      <c r="BJ24" s="30" t="s">
        <v>185</v>
      </c>
      <c r="BK24" s="30" t="s">
        <v>185</v>
      </c>
      <c r="BL24" s="30" t="n">
        <v>131.822</v>
      </c>
      <c r="BM24" s="30" t="n">
        <v>1762.216</v>
      </c>
      <c r="BN24" s="30" t="n">
        <v>1366.069</v>
      </c>
      <c r="BO24" s="30" t="n">
        <v>61.25</v>
      </c>
      <c r="BP24" s="30" t="n">
        <v>85.249</v>
      </c>
      <c r="BQ24" s="30" t="n">
        <v>353.818</v>
      </c>
      <c r="BR24" s="30" t="n">
        <v>2481.738</v>
      </c>
      <c r="BS24" s="30" t="n">
        <v>109.408</v>
      </c>
    </row>
    <row r="25" customFormat="false" ht="15" hidden="false" customHeight="false" outlineLevel="0" collapsed="false">
      <c r="B25" s="31" t="s">
        <v>215</v>
      </c>
      <c r="C25" s="31" t="s">
        <v>216</v>
      </c>
      <c r="D25" s="32" t="n">
        <v>2017</v>
      </c>
      <c r="E25" s="24" t="n">
        <v>43147</v>
      </c>
      <c r="F25" s="33" t="n">
        <v>1</v>
      </c>
      <c r="G25" s="26" t="n">
        <f aca="false">Inputs!$C$13+Inputs!$C$14*M25+Inputs!$C$15*N25+Inputs!$C$16*O25+Inputs!$C$17*P25+Inputs!$C$18*Q25+Inputs!$C$19*R25+Inputs!$C$20*S25+Inputs!$C$21*T25</f>
        <v>-2.45290730650461</v>
      </c>
      <c r="H25" s="26" t="n">
        <f aca="false">EXP(AB25)/(1+EXP(AB25))/Inputs!$C$32</f>
        <v>0.371968432690534</v>
      </c>
      <c r="I25" s="9" t="n">
        <f aca="false">IF(AND(F25=1,G25&gt;Inputs!$C$7),1,0)</f>
        <v>0</v>
      </c>
      <c r="J25" s="9" t="n">
        <f aca="false">IF(AND(F25=1,H25&gt;Inputs!$C$8),1,0)</f>
        <v>0</v>
      </c>
      <c r="K25" s="9" t="n">
        <f aca="false">MAX(I25,J25)</f>
        <v>0</v>
      </c>
      <c r="L25" s="9" t="n">
        <f aca="false">I25*J25</f>
        <v>0</v>
      </c>
      <c r="M25" s="17" t="n">
        <f aca="false">IFERROR((AK25/AD25)/(BD25/AW25),1)</f>
        <v>1</v>
      </c>
      <c r="N25" s="17" t="n">
        <f aca="false">IFERROR(((AW25-AX25)/AW25)/((AD25-AE25)/AD25),1)</f>
        <v>1.13773076141798</v>
      </c>
      <c r="O25" s="17" t="n">
        <f aca="false">IFERROR((1-(AM25+AO25)/AN25)/(1-(BF25+BH25)/BG25),1)</f>
        <v>0.90525039796078</v>
      </c>
      <c r="P25" s="17" t="n">
        <f aca="false">IFERROR(AD25/AW25,1)</f>
        <v>1.18893374219613</v>
      </c>
      <c r="Q25" s="17" t="n">
        <f aca="false">IFERROR((AZ25/(AZ25+BH25))/(AG25/(AG25+AO25)),1)</f>
        <v>0.975946982244636</v>
      </c>
      <c r="R25" s="17" t="n">
        <f aca="false">IFERROR((AF25/AD25)/(AY25/AW25),1)</f>
        <v>0.854559534186346</v>
      </c>
      <c r="S25" s="17" t="n">
        <f aca="false">IFERROR((AH25-AI25)/AN25,0)</f>
        <v>-0.0411847788809484</v>
      </c>
      <c r="T25" s="17" t="n">
        <f aca="false">IFERROR(((AS25+N(AU25))/AN25)/((BL25+N(BN25))/BG25),1)</f>
        <v>1.01659110104748</v>
      </c>
      <c r="U25" s="17" t="n">
        <f aca="false">IFERROR((((AM25-AP25-N(AQ25))-(AS25-N(AV25))+(AN25-AM25-N(AR25))-(AT25-AS25-N(AU25))+(N(AQ25)+N(AR25))-(N(AU25)+N(AV25)))-((BF25-BI25-N(BJ25))-(BL25-N(BO25))+(BG25-BF25-N(BK25))-(BM25-BL25-N(BN25))+(N(BJ25)+N(BK25))-(N(BN25)+N(BO25))))/((AN25+BG25)/2),0)</f>
        <v>0</v>
      </c>
      <c r="V25" s="17" t="n">
        <f aca="false">IFERROR((AK25-BD25)/((AN25+BG25)/2),0)</f>
        <v>0</v>
      </c>
      <c r="W25" s="17" t="n">
        <f aca="false">IFERROR((N(AL25)-N(BE25))/((AN25+BG25)/2),0)</f>
        <v>0.00402282001791187</v>
      </c>
      <c r="X25" s="17" t="n">
        <f aca="false">IFERROR((AN25-N(AO25)-AP25)/AN25,0)</f>
        <v>0.657512534869534</v>
      </c>
      <c r="Y25" s="17" t="n">
        <f aca="false">IF(COUNT(BP25,BQ25,BR25,BS25)=4,IFERROR((AD25-(AK25-BD25))/(AW25-(BD25-BP25))-1,0),0)</f>
        <v>0</v>
      </c>
      <c r="Z25" s="17" t="n">
        <f aca="false">IF(COUNT(BP25,BQ25,BR25,BS25)=4,IFERROR(AH25/((AN25+BG25)/2)-BA25/((BG25+BR25)/2),0),0)</f>
        <v>0</v>
      </c>
      <c r="AA25" s="9" t="n">
        <f aca="false">IF(N(AJ25)&gt;0,1,0)</f>
        <v>0</v>
      </c>
      <c r="AB25" s="17" t="n">
        <f aca="false">Inputs!$C$24+Inputs!$C$25*U25+Inputs!$C$26*V25+Inputs!$C$27*W25+Inputs!$C$28*X25+Inputs!$C$29*Y25+Inputs!$C$30*Z25+Inputs!$C$31*AA25</f>
        <v>-6.58699151485186</v>
      </c>
      <c r="AD25" s="30" t="n">
        <v>2989.713</v>
      </c>
      <c r="AE25" s="30" t="n">
        <v>2674.78</v>
      </c>
      <c r="AF25" s="30" t="n">
        <v>222.811</v>
      </c>
      <c r="AG25" s="30" t="n">
        <v>66.345</v>
      </c>
      <c r="AH25" s="30" t="n">
        <v>69.098</v>
      </c>
      <c r="AI25" s="30" t="n">
        <v>146.195</v>
      </c>
      <c r="AJ25" s="30" t="s">
        <v>185</v>
      </c>
      <c r="AK25" s="30" t="s">
        <v>185</v>
      </c>
      <c r="AL25" s="30" t="n">
        <v>62.497</v>
      </c>
      <c r="AM25" s="30" t="n">
        <v>1232.078</v>
      </c>
      <c r="AN25" s="30" t="n">
        <v>1871.978</v>
      </c>
      <c r="AO25" s="30" t="n">
        <v>407.418</v>
      </c>
      <c r="AP25" s="30" t="n">
        <v>233.711</v>
      </c>
      <c r="AQ25" s="30" t="n">
        <v>67.775</v>
      </c>
      <c r="AR25" s="30" t="n">
        <v>65.015</v>
      </c>
      <c r="AS25" s="30" t="n">
        <v>655.274</v>
      </c>
      <c r="AT25" s="30" t="s">
        <v>185</v>
      </c>
      <c r="AU25" s="30" t="n">
        <v>178.453</v>
      </c>
      <c r="AV25" s="30" t="n">
        <v>46.048</v>
      </c>
      <c r="AW25" s="30" t="n">
        <v>2514.617</v>
      </c>
      <c r="AX25" s="30" t="n">
        <v>2213.247</v>
      </c>
      <c r="AY25" s="30" t="n">
        <v>219.299</v>
      </c>
      <c r="AZ25" s="30" t="n">
        <v>64.375</v>
      </c>
      <c r="BA25" s="30" t="n">
        <v>57.122</v>
      </c>
      <c r="BB25" s="30" t="n">
        <v>73.146</v>
      </c>
      <c r="BC25" s="30" t="s">
        <v>185</v>
      </c>
      <c r="BD25" s="30" t="s">
        <v>185</v>
      </c>
      <c r="BE25" s="30" t="n">
        <v>55.245</v>
      </c>
      <c r="BF25" s="30" t="n">
        <v>1088.992</v>
      </c>
      <c r="BG25" s="30" t="n">
        <v>1733.453</v>
      </c>
      <c r="BH25" s="30" t="n">
        <v>406.65</v>
      </c>
      <c r="BI25" s="30" t="n">
        <v>189.326</v>
      </c>
      <c r="BJ25" s="30" t="n">
        <v>64.884</v>
      </c>
      <c r="BK25" s="30" t="n">
        <v>62.895</v>
      </c>
      <c r="BL25" s="30" t="n">
        <v>529.934</v>
      </c>
      <c r="BM25" s="30" t="s">
        <v>185</v>
      </c>
      <c r="BN25" s="30" t="n">
        <v>229.498</v>
      </c>
      <c r="BO25" s="30" t="n">
        <v>14.796</v>
      </c>
      <c r="BP25" s="30" t="s">
        <v>185</v>
      </c>
      <c r="BQ25" s="30" t="n">
        <v>2371.029</v>
      </c>
      <c r="BR25" s="30" t="n">
        <v>1626.878</v>
      </c>
      <c r="BS25" s="30" t="n">
        <v>60.485</v>
      </c>
    </row>
    <row r="26" customFormat="false" ht="15" hidden="false" customHeight="false" outlineLevel="0" collapsed="false">
      <c r="B26" s="31" t="s">
        <v>215</v>
      </c>
      <c r="C26" s="31" t="s">
        <v>216</v>
      </c>
      <c r="D26" s="32" t="n">
        <v>2018</v>
      </c>
      <c r="E26" s="24" t="n">
        <v>43518</v>
      </c>
      <c r="F26" s="33" t="n">
        <v>1</v>
      </c>
      <c r="G26" s="26" t="n">
        <f aca="false">Inputs!$C$13+Inputs!$C$14*M26+Inputs!$C$15*N26+Inputs!$C$16*O26+Inputs!$C$17*P26+Inputs!$C$18*Q26+Inputs!$C$19*R26+Inputs!$C$20*S26+Inputs!$C$21*T26</f>
        <v>-2.36595509309415</v>
      </c>
      <c r="H26" s="26" t="n">
        <f aca="false">EXP(AB26)/(1+EXP(AB26))/Inputs!$C$32</f>
        <v>0.380415606597555</v>
      </c>
      <c r="I26" s="9" t="n">
        <f aca="false">IF(AND(F26=1,G26&gt;Inputs!$C$7),1,0)</f>
        <v>0</v>
      </c>
      <c r="J26" s="9" t="n">
        <f aca="false">IF(AND(F26=1,H26&gt;Inputs!$C$8),1,0)</f>
        <v>0</v>
      </c>
      <c r="K26" s="9" t="n">
        <f aca="false">MAX(I26,J26)</f>
        <v>0</v>
      </c>
      <c r="L26" s="9" t="n">
        <f aca="false">I26*J26</f>
        <v>0</v>
      </c>
      <c r="M26" s="17" t="n">
        <f aca="false">IFERROR((AK26/AD26)/(BD26/AW26),1)</f>
        <v>0.888656225417008</v>
      </c>
      <c r="N26" s="17" t="n">
        <f aca="false">IFERROR(((AW26-AX26)/AW26)/((AD26-AE26)/AD26),1)</f>
        <v>0.898163356678406</v>
      </c>
      <c r="O26" s="17" t="n">
        <f aca="false">IFERROR((1-(AM26+AO26)/AN26)/(1-(BF26+BH26)/BG26),1)</f>
        <v>1.66311154530354</v>
      </c>
      <c r="P26" s="17" t="n">
        <f aca="false">IFERROR(AD26/AW26,1)</f>
        <v>1.10994399796904</v>
      </c>
      <c r="Q26" s="17" t="n">
        <f aca="false">IFERROR((AZ26/(AZ26+BH26))/(AG26/(AG26+AO26)),1)</f>
        <v>0.83014643426487</v>
      </c>
      <c r="R26" s="17" t="n">
        <f aca="false">IFERROR((AF26/AD26)/(AY26/AW26),1)</f>
        <v>1.1150478363072</v>
      </c>
      <c r="S26" s="17" t="n">
        <f aca="false">IFERROR((AH26-AI26)/AN26,0)</f>
        <v>-0.0177582097398814</v>
      </c>
      <c r="T26" s="17" t="n">
        <f aca="false">IFERROR(((AS26+N(AU26))/AN26)/((BL26+N(BN26))/BG26),1)</f>
        <v>0.918361259993039</v>
      </c>
      <c r="U26" s="17" t="n">
        <f aca="false">IFERROR((((AM26-AP26-N(AQ26))-(AS26-N(AV26))+(AN26-AM26-N(AR26))-(AT26-AS26-N(AU26))+(N(AQ26)+N(AR26))-(N(AU26)+N(AV26)))-((BF26-BI26-N(BJ26))-(BL26-N(BO26))+(BG26-BF26-N(BK26))-(BM26-BL26-N(BN26))+(N(BJ26)+N(BK26))-(N(BN26)+N(BO26))))/((AN26+BG26)/2),0)</f>
        <v>0</v>
      </c>
      <c r="V26" s="17" t="n">
        <f aca="false">IFERROR((AK26-BD26)/((AN26+BG26)/2),0)</f>
        <v>-0.00301017872734979</v>
      </c>
      <c r="W26" s="17" t="n">
        <f aca="false">IFERROR((N(AL26)-N(BE26))/((AN26+BG26)/2),0)</f>
        <v>0.0120158792101972</v>
      </c>
      <c r="X26" s="17" t="n">
        <f aca="false">IFERROR((AN26-N(AO26)-AP26)/AN26,0)</f>
        <v>0.667894828436232</v>
      </c>
      <c r="Y26" s="17" t="n">
        <f aca="false">IF(COUNT(BP26,BQ26,BR26,BS26)=4,IFERROR((AD26-(AK26-BD26))/(AW26-(BD26-BP26))-1,0),0)</f>
        <v>0</v>
      </c>
      <c r="Z26" s="17" t="n">
        <f aca="false">IF(COUNT(BP26,BQ26,BR26,BS26)=4,IFERROR(AH26/((AN26+BG26)/2)-BA26/((BG26+BR26)/2),0),0)</f>
        <v>0</v>
      </c>
      <c r="AA26" s="9" t="n">
        <f aca="false">IF(N(AJ26)&gt;0,1,0)</f>
        <v>0</v>
      </c>
      <c r="AB26" s="17" t="n">
        <f aca="false">Inputs!$C$24+Inputs!$C$25*U26+Inputs!$C$26*V26+Inputs!$C$27*W26+Inputs!$C$28*X26+Inputs!$C$29*Y26+Inputs!$C$30*Z26+Inputs!$C$31*AA26</f>
        <v>-6.56450485242082</v>
      </c>
      <c r="AD26" s="30" t="n">
        <v>3318.414</v>
      </c>
      <c r="AE26" s="30" t="n">
        <v>2929.222</v>
      </c>
      <c r="AF26" s="30" t="n">
        <v>272.776</v>
      </c>
      <c r="AG26" s="30" t="n">
        <v>111.544</v>
      </c>
      <c r="AH26" s="30" t="n">
        <v>42.41</v>
      </c>
      <c r="AI26" s="30" t="n">
        <v>86.39</v>
      </c>
      <c r="AJ26" s="30" t="s">
        <v>185</v>
      </c>
      <c r="AK26" s="30" t="n">
        <v>473.246</v>
      </c>
      <c r="AL26" s="30" t="n">
        <v>88.623</v>
      </c>
      <c r="AM26" s="30" t="n">
        <v>1415.389</v>
      </c>
      <c r="AN26" s="30" t="n">
        <v>2476.601</v>
      </c>
      <c r="AO26" s="30" t="n">
        <v>549.688</v>
      </c>
      <c r="AP26" s="30" t="n">
        <v>272.804</v>
      </c>
      <c r="AQ26" s="30" t="s">
        <v>185</v>
      </c>
      <c r="AR26" s="30" t="s">
        <v>185</v>
      </c>
      <c r="AS26" s="30" t="n">
        <v>677.842</v>
      </c>
      <c r="AT26" s="30" t="s">
        <v>185</v>
      </c>
      <c r="AU26" s="30" t="n">
        <v>335.119</v>
      </c>
      <c r="AV26" s="30" t="n">
        <v>47.286</v>
      </c>
      <c r="AW26" s="30" t="n">
        <v>2989.713</v>
      </c>
      <c r="AX26" s="30" t="n">
        <v>2674.78</v>
      </c>
      <c r="AY26" s="30" t="n">
        <v>220.4</v>
      </c>
      <c r="AZ26" s="30" t="n">
        <v>66.345</v>
      </c>
      <c r="BA26" s="30" t="n">
        <v>69.098</v>
      </c>
      <c r="BB26" s="30" t="n">
        <v>146.195</v>
      </c>
      <c r="BC26" s="30" t="s">
        <v>185</v>
      </c>
      <c r="BD26" s="30" t="n">
        <v>479.791</v>
      </c>
      <c r="BE26" s="30" t="n">
        <v>62.497</v>
      </c>
      <c r="BF26" s="30" t="n">
        <v>1232.078</v>
      </c>
      <c r="BG26" s="30" t="n">
        <v>1871.978</v>
      </c>
      <c r="BH26" s="30" t="n">
        <v>407.418</v>
      </c>
      <c r="BI26" s="30" t="n">
        <v>233.711</v>
      </c>
      <c r="BJ26" s="30" t="n">
        <v>67.775</v>
      </c>
      <c r="BK26" s="30" t="n">
        <v>65.015</v>
      </c>
      <c r="BL26" s="30" t="n">
        <v>655.274</v>
      </c>
      <c r="BM26" s="30" t="s">
        <v>185</v>
      </c>
      <c r="BN26" s="30" t="n">
        <v>178.453</v>
      </c>
      <c r="BO26" s="30" t="n">
        <v>46.048</v>
      </c>
      <c r="BP26" s="30" t="s">
        <v>185</v>
      </c>
      <c r="BQ26" s="30" t="n">
        <v>2514.617</v>
      </c>
      <c r="BR26" s="30" t="n">
        <v>1733.453</v>
      </c>
      <c r="BS26" s="30" t="n">
        <v>57.122</v>
      </c>
    </row>
    <row r="27" customFormat="false" ht="15" hidden="false" customHeight="false" outlineLevel="0" collapsed="false">
      <c r="B27" s="31" t="s">
        <v>215</v>
      </c>
      <c r="C27" s="31" t="s">
        <v>216</v>
      </c>
      <c r="D27" s="32" t="n">
        <v>2019</v>
      </c>
      <c r="E27" s="24" t="n">
        <v>44249</v>
      </c>
      <c r="F27" s="33" t="n">
        <v>1</v>
      </c>
      <c r="G27" s="26" t="n">
        <f aca="false">Inputs!$C$13+Inputs!$C$14*M27+Inputs!$C$15*N27+Inputs!$C$16*O27+Inputs!$C$17*P27+Inputs!$C$18*Q27+Inputs!$C$19*R27+Inputs!$C$20*S27+Inputs!$C$21*T27</f>
        <v>-2.4083785752809</v>
      </c>
      <c r="H27" s="26" t="n">
        <f aca="false">EXP(AB27)/(1+EXP(AB27))/Inputs!$C$32</f>
        <v>1.18068569018876</v>
      </c>
      <c r="I27" s="9" t="n">
        <f aca="false">IF(AND(F27=1,G27&gt;Inputs!$C$7),1,0)</f>
        <v>0</v>
      </c>
      <c r="J27" s="9" t="n">
        <f aca="false">IF(AND(F27=1,H27&gt;Inputs!$C$8),1,0)</f>
        <v>0</v>
      </c>
      <c r="K27" s="9" t="n">
        <f aca="false">MAX(I27,J27)</f>
        <v>0</v>
      </c>
      <c r="L27" s="9" t="n">
        <f aca="false">I27*J27</f>
        <v>0</v>
      </c>
      <c r="M27" s="17" t="n">
        <f aca="false">IFERROR((AK27/AD27)/(BD27/AW27),1)</f>
        <v>1.07729826325215</v>
      </c>
      <c r="N27" s="17" t="n">
        <f aca="false">IFERROR(((AW27-AX27)/AW27)/((AD27-AE27)/AD27),1)</f>
        <v>1.58334864153451</v>
      </c>
      <c r="O27" s="17" t="n">
        <f aca="false">IFERROR((1-(AM27+AO27)/AN27)/(1-(BF27+BH27)/BG27),1)</f>
        <v>1.0529567197437</v>
      </c>
      <c r="P27" s="17" t="n">
        <f aca="false">IFERROR(AD27/AW27,1)</f>
        <v>1.04824262381462</v>
      </c>
      <c r="Q27" s="17" t="n">
        <f aca="false">IFERROR((AZ27/(AZ27+BH27))/(AG27/(AG27+AO27)),1)</f>
        <v>0.909917860579483</v>
      </c>
      <c r="R27" s="17" t="n">
        <f aca="false">IFERROR((AF27/AD27)/(AY27/AW27),1)</f>
        <v>1.07709981952889</v>
      </c>
      <c r="S27" s="17" t="n">
        <f aca="false">IFERROR((AH27-AI27)/AN27,0)</f>
        <v>-0.0685943100322611</v>
      </c>
      <c r="T27" s="17" t="n">
        <f aca="false">IFERROR(((AS27+N(AU27))/AN27)/((BL27+N(BN27))/BG27),1)</f>
        <v>1.08365322259611</v>
      </c>
      <c r="U27" s="17" t="n">
        <f aca="false">IFERROR((((AM27-AP27-N(AQ27))-(AS27-N(AV27))+(AN27-AM27-N(AR27))-(AT27-AS27-N(AU27))+(N(AQ27)+N(AR27))-(N(AU27)+N(AV27)))-((BF27-BI27-N(BJ27))-(BL27-N(BO27))+(BG27-BF27-N(BK27))-(BM27-BL27-N(BN27))+(N(BJ27)+N(BK27))-(N(BN27)+N(BO27))))/((AN27+BG27)/2),0)</f>
        <v>0</v>
      </c>
      <c r="V27" s="17" t="n">
        <f aca="false">IFERROR((AK27-BD27)/((AN27+BG27)/2),0)</f>
        <v>0.0254254308678137</v>
      </c>
      <c r="W27" s="17" t="n">
        <f aca="false">IFERROR((N(AL27)-N(BE27))/((AN27+BG27)/2),0)</f>
        <v>0.000106304463286212</v>
      </c>
      <c r="X27" s="17" t="n">
        <f aca="false">IFERROR((AN27-N(AO27)-AP27)/AN27,0)</f>
        <v>0.67844056643891</v>
      </c>
      <c r="Y27" s="17" t="n">
        <f aca="false">IF(COUNT(BP27,BQ27,BR27,BS27)=4,IFERROR((AD27-(AK27-BD27))/(AW27-(BD27-BP27))-1,0),0)</f>
        <v>0.0307345762688109</v>
      </c>
      <c r="Z27" s="17" t="n">
        <f aca="false">IF(COUNT(BP27,BQ27,BR27,BS27)=4,IFERROR(AH27/((AN27+BG27)/2)-BA27/((BG27+BR27)/2),0),0)</f>
        <v>-0.0246927829227385</v>
      </c>
      <c r="AA27" s="9" t="n">
        <f aca="false">IF(N(AJ27)&gt;0,1,0)</f>
        <v>1</v>
      </c>
      <c r="AB27" s="17" t="n">
        <f aca="false">Inputs!$C$24+Inputs!$C$25*U27+Inputs!$C$26*V27+Inputs!$C$27*W27+Inputs!$C$28*X27+Inputs!$C$29*Y27+Inputs!$C$30*Z27+Inputs!$C$31*AA27</f>
        <v>-5.42894898925051</v>
      </c>
      <c r="AD27" s="30" t="n">
        <v>3445.606</v>
      </c>
      <c r="AE27" s="30" t="n">
        <v>3223.928</v>
      </c>
      <c r="AF27" s="30" t="n">
        <v>307.981</v>
      </c>
      <c r="AG27" s="30" t="n">
        <v>123.418</v>
      </c>
      <c r="AH27" s="30" t="n">
        <v>-60.191</v>
      </c>
      <c r="AI27" s="30" t="n">
        <v>111.438</v>
      </c>
      <c r="AJ27" s="30" t="n">
        <v>230</v>
      </c>
      <c r="AK27" s="30" t="n">
        <v>547.417</v>
      </c>
      <c r="AL27" s="30" t="n">
        <v>88.885</v>
      </c>
      <c r="AM27" s="30" t="n">
        <v>1376.941</v>
      </c>
      <c r="AN27" s="30" t="n">
        <v>2502.088</v>
      </c>
      <c r="AO27" s="30" t="n">
        <v>542.297</v>
      </c>
      <c r="AP27" s="30" t="n">
        <v>262.273</v>
      </c>
      <c r="AQ27" s="30" t="s">
        <v>185</v>
      </c>
      <c r="AR27" s="30" t="s">
        <v>185</v>
      </c>
      <c r="AS27" s="30" t="n">
        <v>842.056</v>
      </c>
      <c r="AT27" s="30" t="s">
        <v>185</v>
      </c>
      <c r="AU27" s="30" t="n">
        <v>356.108</v>
      </c>
      <c r="AV27" s="30" t="n">
        <v>8.244</v>
      </c>
      <c r="AW27" s="30" t="n">
        <v>3287.031</v>
      </c>
      <c r="AX27" s="30" t="n">
        <v>2952.191</v>
      </c>
      <c r="AY27" s="30" t="n">
        <v>272.776</v>
      </c>
      <c r="AZ27" s="30" t="n">
        <v>111.544</v>
      </c>
      <c r="BA27" s="30" t="n">
        <v>0.582</v>
      </c>
      <c r="BB27" s="30" t="n">
        <v>86.39</v>
      </c>
      <c r="BC27" s="30" t="n">
        <v>0</v>
      </c>
      <c r="BD27" s="30" t="n">
        <v>484.753</v>
      </c>
      <c r="BE27" s="30" t="n">
        <v>88.623</v>
      </c>
      <c r="BF27" s="30" t="n">
        <v>1340.504</v>
      </c>
      <c r="BG27" s="30" t="n">
        <v>2427.15</v>
      </c>
      <c r="BH27" s="30" t="n">
        <v>549.688</v>
      </c>
      <c r="BI27" s="30" t="n">
        <v>272.804</v>
      </c>
      <c r="BJ27" s="30" t="s">
        <v>185</v>
      </c>
      <c r="BK27" s="30" t="s">
        <v>185</v>
      </c>
      <c r="BL27" s="30" t="n">
        <v>737.437</v>
      </c>
      <c r="BM27" s="30" t="s">
        <v>185</v>
      </c>
      <c r="BN27" s="30" t="n">
        <v>335.119</v>
      </c>
      <c r="BO27" s="30" t="n">
        <v>47.286</v>
      </c>
      <c r="BP27" s="30" t="n">
        <v>479.791</v>
      </c>
      <c r="BQ27" s="30" t="n">
        <v>2958.374</v>
      </c>
      <c r="BR27" s="30" t="n">
        <v>1871.978</v>
      </c>
      <c r="BS27" s="30" t="n">
        <v>34.116</v>
      </c>
    </row>
    <row r="28" customFormat="false" ht="15" hidden="false" customHeight="false" outlineLevel="0" collapsed="false">
      <c r="B28" s="31" t="s">
        <v>217</v>
      </c>
      <c r="C28" s="31" t="s">
        <v>218</v>
      </c>
      <c r="D28" s="32" t="n">
        <v>2011</v>
      </c>
      <c r="E28" s="24" t="n">
        <v>41250</v>
      </c>
      <c r="F28" s="33" t="n">
        <v>0</v>
      </c>
      <c r="G28" s="26" t="n">
        <f aca="false">Inputs!$C$13+Inputs!$C$14*M28+Inputs!$C$15*N28+Inputs!$C$16*O28+Inputs!$C$17*P28+Inputs!$C$18*Q28+Inputs!$C$19*R28+Inputs!$C$20*S28+Inputs!$C$21*T28</f>
        <v>-2.28905139935108</v>
      </c>
      <c r="H28" s="26" t="n">
        <f aca="false">EXP(AB28)/(1+EXP(AB28))/Inputs!$C$32</f>
        <v>0.593155654510282</v>
      </c>
      <c r="I28" s="9" t="n">
        <f aca="false">IF(AND(F28=1,G28&gt;Inputs!$C$7),1,0)</f>
        <v>0</v>
      </c>
      <c r="J28" s="9" t="n">
        <f aca="false">IF(AND(F28=1,H28&gt;Inputs!$C$8),1,0)</f>
        <v>0</v>
      </c>
      <c r="K28" s="9" t="n">
        <f aca="false">MAX(I28,J28)</f>
        <v>0</v>
      </c>
      <c r="L28" s="9" t="n">
        <f aca="false">I28*J28</f>
        <v>0</v>
      </c>
      <c r="M28" s="17" t="n">
        <f aca="false">IFERROR((AK28/AD28)/(BD28/AW28),1)</f>
        <v>1</v>
      </c>
      <c r="N28" s="17" t="n">
        <f aca="false">IFERROR(((AW28-AX28)/AW28)/((AD28-AE28)/AD28),1)</f>
        <v>0.947923187952141</v>
      </c>
      <c r="O28" s="17" t="n">
        <f aca="false">IFERROR((1-(AM28+AO28)/AN28)/(1-(BF28+BH28)/BG28),1)</f>
        <v>1</v>
      </c>
      <c r="P28" s="17" t="n">
        <f aca="false">IFERROR(AD28/AW28,1)</f>
        <v>1.41675386838549</v>
      </c>
      <c r="Q28" s="17" t="n">
        <f aca="false">IFERROR((AZ28/(AZ28+BH28))/(AG28/(AG28+AO28)),1)</f>
        <v>1</v>
      </c>
      <c r="R28" s="17" t="n">
        <f aca="false">IFERROR((AF28/AD28)/(AY28/AW28),1)</f>
        <v>1.06618841430479</v>
      </c>
      <c r="S28" s="17" t="n">
        <f aca="false">IFERROR((AH28-AI28)/AN28,0)</f>
        <v>-0.0303301743811167</v>
      </c>
      <c r="T28" s="17" t="n">
        <f aca="false">IFERROR(((AS28+N(AU28))/AN28)/((BL28+N(BN28))/BG28),1)</f>
        <v>1</v>
      </c>
      <c r="U28" s="17" t="n">
        <f aca="false">IFERROR((((AM28-AP28-N(AQ28))-(AS28-N(AV28))+(AN28-AM28-N(AR28))-(AT28-AS28-N(AU28))+(N(AQ28)+N(AR28))-(N(AU28)+N(AV28)))-((BF28-BI28-N(BJ28))-(BL28-N(BO28))+(BG28-BF28-N(BK28))-(BM28-BL28-N(BN28))+(N(BJ28)+N(BK28))-(N(BN28)+N(BO28))))/((AN28+BG28)/2),0)</f>
        <v>0</v>
      </c>
      <c r="V28" s="17" t="n">
        <f aca="false">IFERROR((AK28-BD28)/((AN28+BG28)/2),0)</f>
        <v>0</v>
      </c>
      <c r="W28" s="17" t="n">
        <f aca="false">IFERROR((N(AL28)-N(BE28))/((AN28+BG28)/2),0)</f>
        <v>0</v>
      </c>
      <c r="X28" s="17" t="n">
        <f aca="false">IFERROR((AN28-N(AO28)-AP28)/AN28,0)</f>
        <v>0.896147650590707</v>
      </c>
      <c r="Y28" s="17" t="n">
        <f aca="false">IF(COUNT(BP28,BQ28,BR28,BS28)=4,IFERROR((AD28-(AK28-BD28))/(AW28-(BD28-BP28))-1,0),0)</f>
        <v>0</v>
      </c>
      <c r="Z28" s="17" t="n">
        <f aca="false">IF(COUNT(BP28,BQ28,BR28,BS28)=4,IFERROR(AH28/((AN28+BG28)/2)-BA28/((BG28+BR28)/2),0),0)</f>
        <v>0</v>
      </c>
      <c r="AA28" s="9" t="n">
        <f aca="false">IF(N(AJ28)&gt;0,1,0)</f>
        <v>0</v>
      </c>
      <c r="AB28" s="17" t="n">
        <f aca="false">Inputs!$C$24+Inputs!$C$25*U28+Inputs!$C$26*V28+Inputs!$C$27*W28+Inputs!$C$28*X28+Inputs!$C$29*Y28+Inputs!$C$30*Z28+Inputs!$C$31*AA28</f>
        <v>-6.11952379948099</v>
      </c>
      <c r="AD28" s="30" t="n">
        <v>966.688</v>
      </c>
      <c r="AE28" s="30" t="n">
        <v>750.209</v>
      </c>
      <c r="AF28" s="30" t="n">
        <v>97.506</v>
      </c>
      <c r="AG28" s="30" t="n">
        <v>20</v>
      </c>
      <c r="AH28" s="30" t="n">
        <v>26.567</v>
      </c>
      <c r="AI28" s="30" t="n">
        <v>66.691</v>
      </c>
      <c r="AJ28" s="30" t="s">
        <v>185</v>
      </c>
      <c r="AK28" s="30" t="n">
        <v>98.275</v>
      </c>
      <c r="AL28" s="30" t="n">
        <v>153.534</v>
      </c>
      <c r="AM28" s="30" t="n">
        <v>299.999</v>
      </c>
      <c r="AN28" s="30" t="n">
        <v>1322.907</v>
      </c>
      <c r="AO28" s="30" t="n">
        <v>134.275</v>
      </c>
      <c r="AP28" s="30" t="n">
        <v>3.112</v>
      </c>
      <c r="AQ28" s="30" t="s">
        <v>185</v>
      </c>
      <c r="AR28" s="30" t="s">
        <v>185</v>
      </c>
      <c r="AS28" s="30" t="n">
        <v>247.553</v>
      </c>
      <c r="AT28" s="30" t="s">
        <v>185</v>
      </c>
      <c r="AU28" s="30" t="n">
        <v>490.001</v>
      </c>
      <c r="AV28" s="30" t="n">
        <v>41.7</v>
      </c>
      <c r="AW28" s="30" t="n">
        <v>682.326</v>
      </c>
      <c r="AX28" s="30" t="n">
        <v>537.484</v>
      </c>
      <c r="AY28" s="30" t="n">
        <v>64.551</v>
      </c>
      <c r="AZ28" s="30" t="n">
        <v>12.4</v>
      </c>
      <c r="BA28" s="30" t="n">
        <v>15.676</v>
      </c>
      <c r="BB28" s="30" t="n">
        <v>-1.846</v>
      </c>
      <c r="BC28" s="30" t="n">
        <v>191.475</v>
      </c>
      <c r="BD28" s="30" t="s">
        <v>185</v>
      </c>
      <c r="BE28" s="30" t="s">
        <v>185</v>
      </c>
      <c r="BF28" s="30" t="s">
        <v>185</v>
      </c>
      <c r="BG28" s="30" t="s">
        <v>185</v>
      </c>
      <c r="BH28" s="30" t="s">
        <v>185</v>
      </c>
      <c r="BI28" s="30" t="n">
        <v>5.642</v>
      </c>
      <c r="BJ28" s="30" t="s">
        <v>185</v>
      </c>
      <c r="BK28" s="30" t="s">
        <v>185</v>
      </c>
      <c r="BL28" s="30" t="s">
        <v>185</v>
      </c>
      <c r="BM28" s="30" t="s">
        <v>185</v>
      </c>
      <c r="BN28" s="30" t="s">
        <v>185</v>
      </c>
      <c r="BO28" s="30" t="s">
        <v>185</v>
      </c>
      <c r="BP28" s="30" t="s">
        <v>185</v>
      </c>
      <c r="BQ28" s="30" t="s">
        <v>185</v>
      </c>
      <c r="BR28" s="30" t="s">
        <v>185</v>
      </c>
      <c r="BS28" s="30" t="s">
        <v>185</v>
      </c>
    </row>
    <row r="29" customFormat="false" ht="15" hidden="false" customHeight="false" outlineLevel="0" collapsed="false">
      <c r="B29" s="31" t="s">
        <v>219</v>
      </c>
      <c r="C29" s="31" t="s">
        <v>220</v>
      </c>
      <c r="D29" s="32" t="n">
        <v>2011</v>
      </c>
      <c r="E29" s="24" t="n">
        <v>40966</v>
      </c>
      <c r="F29" s="33" t="n">
        <v>0</v>
      </c>
      <c r="G29" s="26" t="n">
        <f aca="false">Inputs!$C$13+Inputs!$C$14*M29+Inputs!$C$15*N29+Inputs!$C$16*O29+Inputs!$C$17*P29+Inputs!$C$18*Q29+Inputs!$C$19*R29+Inputs!$C$20*S29+Inputs!$C$21*T29</f>
        <v>-2.9364560166186</v>
      </c>
      <c r="H29" s="26" t="n">
        <f aca="false">EXP(AB29)/(1+EXP(AB29))/Inputs!$C$32</f>
        <v>1.59006351432979</v>
      </c>
      <c r="I29" s="9" t="n">
        <f aca="false">IF(AND(F29=1,G29&gt;Inputs!$C$7),1,0)</f>
        <v>0</v>
      </c>
      <c r="J29" s="9" t="n">
        <f aca="false">IF(AND(F29=1,H29&gt;Inputs!$C$8),1,0)</f>
        <v>0</v>
      </c>
      <c r="K29" s="9" t="n">
        <f aca="false">MAX(I29,J29)</f>
        <v>0</v>
      </c>
      <c r="L29" s="9" t="n">
        <f aca="false">I29*J29</f>
        <v>0</v>
      </c>
      <c r="M29" s="17" t="n">
        <f aca="false">IFERROR((AK29/AD29)/(BD29/AW29),1)</f>
        <v>1</v>
      </c>
      <c r="N29" s="17" t="n">
        <f aca="false">IFERROR(((AW29-AX29)/AW29)/((AD29-AE29)/AD29),1)</f>
        <v>1</v>
      </c>
      <c r="O29" s="17" t="n">
        <f aca="false">IFERROR((1-(AM29+AO29)/AN29)/(1-(BF29+BH29)/BG29),1)</f>
        <v>1</v>
      </c>
      <c r="P29" s="17" t="n">
        <f aca="false">IFERROR(AD29/AW29,1)</f>
        <v>1.09730151295849</v>
      </c>
      <c r="Q29" s="17" t="n">
        <f aca="false">IFERROR((AZ29/(AZ29+BH29))/(AG29/(AG29+AO29)),1)</f>
        <v>1</v>
      </c>
      <c r="R29" s="17" t="n">
        <f aca="false">IFERROR((AF29/AD29)/(AY29/AW29),1)</f>
        <v>1.02209083823156</v>
      </c>
      <c r="S29" s="17" t="n">
        <f aca="false">IFERROR((AH29-AI29)/AN29,0)</f>
        <v>-0.115291588373956</v>
      </c>
      <c r="T29" s="17" t="n">
        <f aca="false">IFERROR(((AS29+N(AU29))/AN29)/((BL29+N(BN29))/BG29),1)</f>
        <v>1</v>
      </c>
      <c r="U29" s="17" t="n">
        <f aca="false">IFERROR((((AM29-AP29-N(AQ29))-(AS29-N(AV29))+(AN29-AM29-N(AR29))-(AT29-AS29-N(AU29))+(N(AQ29)+N(AR29))-(N(AU29)+N(AV29)))-((BF29-BI29-N(BJ29))-(BL29-N(BO29))+(BG29-BF29-N(BK29))-(BM29-BL29-N(BN29))+(N(BJ29)+N(BK29))-(N(BN29)+N(BO29))))/((AN29+BG29)/2),0)</f>
        <v>0</v>
      </c>
      <c r="V29" s="17" t="n">
        <f aca="false">IFERROR((AK29-BD29)/((AN29+BG29)/2),0)</f>
        <v>0</v>
      </c>
      <c r="W29" s="17" t="n">
        <f aca="false">IFERROR((N(AL29)-N(BE29))/((AN29+BG29)/2),0)</f>
        <v>-0.000197095950232216</v>
      </c>
      <c r="X29" s="17" t="n">
        <f aca="false">IFERROR((AN29-N(AO29)-AP29)/AN29,0)</f>
        <v>0.876446110615046</v>
      </c>
      <c r="Y29" s="17" t="n">
        <f aca="false">IF(COUNT(BP29,BQ29,BR29,BS29)=4,IFERROR((AD29-(AK29-BD29))/(AW29-(BD29-BP29))-1,0),0)</f>
        <v>0</v>
      </c>
      <c r="Z29" s="17" t="n">
        <f aca="false">IF(COUNT(BP29,BQ29,BR29,BS29)=4,IFERROR(AH29/((AN29+BG29)/2)-BA29/((BG29+BR29)/2),0),0)</f>
        <v>0</v>
      </c>
      <c r="AA29" s="9" t="n">
        <f aca="false">IF(N(AJ29)&gt;0,1,0)</f>
        <v>1</v>
      </c>
      <c r="AB29" s="17" t="n">
        <f aca="false">Inputs!$C$24+Inputs!$C$25*U29+Inputs!$C$26*V29+Inputs!$C$27*W29+Inputs!$C$28*X29+Inputs!$C$29*Y29+Inputs!$C$30*Z29+Inputs!$C$31*AA29</f>
        <v>-5.12974788836955</v>
      </c>
      <c r="AD29" s="30" t="n">
        <v>8298.38</v>
      </c>
      <c r="AE29" s="30" t="s">
        <v>185</v>
      </c>
      <c r="AF29" s="30" t="n">
        <v>745.278</v>
      </c>
      <c r="AG29" s="30" t="s">
        <v>185</v>
      </c>
      <c r="AH29" s="30" t="n">
        <v>195.73</v>
      </c>
      <c r="AI29" s="30" t="n">
        <v>2233.339</v>
      </c>
      <c r="AJ29" s="30" t="n">
        <v>3062.479</v>
      </c>
      <c r="AK29" s="30" t="s">
        <v>185</v>
      </c>
      <c r="AL29" s="30" t="n">
        <v>83.978</v>
      </c>
      <c r="AM29" s="30" t="s">
        <v>185</v>
      </c>
      <c r="AN29" s="30" t="n">
        <v>17673.527</v>
      </c>
      <c r="AO29" s="30" t="n">
        <v>1251.854</v>
      </c>
      <c r="AP29" s="30" t="n">
        <v>931.779</v>
      </c>
      <c r="AQ29" s="30" t="s">
        <v>185</v>
      </c>
      <c r="AR29" s="30" t="s">
        <v>185</v>
      </c>
      <c r="AS29" s="30" t="s">
        <v>185</v>
      </c>
      <c r="AT29" s="30" t="n">
        <v>15438.852</v>
      </c>
      <c r="AU29" s="30" t="s">
        <v>185</v>
      </c>
      <c r="AV29" s="30" t="s">
        <v>185</v>
      </c>
      <c r="AW29" s="30" t="n">
        <v>7562.534</v>
      </c>
      <c r="AX29" s="30" t="s">
        <v>185</v>
      </c>
      <c r="AY29" s="30" t="n">
        <v>664.512</v>
      </c>
      <c r="AZ29" s="30" t="s">
        <v>185</v>
      </c>
      <c r="BA29" s="30" t="n">
        <v>-48.044</v>
      </c>
      <c r="BB29" s="30" t="n">
        <v>2208.679</v>
      </c>
      <c r="BC29" s="30" t="n">
        <v>2635.713</v>
      </c>
      <c r="BD29" s="30" t="s">
        <v>185</v>
      </c>
      <c r="BE29" s="30" t="n">
        <v>87.429</v>
      </c>
      <c r="BF29" s="30" t="s">
        <v>185</v>
      </c>
      <c r="BG29" s="30" t="n">
        <v>17344.95</v>
      </c>
      <c r="BH29" s="30" t="n">
        <v>1163.569</v>
      </c>
      <c r="BI29" s="30" t="n">
        <v>2374.17</v>
      </c>
      <c r="BJ29" s="30" t="s">
        <v>185</v>
      </c>
      <c r="BK29" s="30" t="s">
        <v>185</v>
      </c>
      <c r="BL29" s="30" t="s">
        <v>185</v>
      </c>
      <c r="BM29" s="30" t="n">
        <v>15226.499</v>
      </c>
      <c r="BN29" s="30" t="s">
        <v>185</v>
      </c>
      <c r="BO29" s="30" t="s">
        <v>185</v>
      </c>
      <c r="BP29" s="30" t="s">
        <v>185</v>
      </c>
      <c r="BQ29" s="30" t="n">
        <v>7101.507</v>
      </c>
      <c r="BR29" s="30" t="n">
        <v>16002.419</v>
      </c>
      <c r="BS29" s="30" t="n">
        <v>-126.022</v>
      </c>
    </row>
    <row r="30" customFormat="false" ht="15" hidden="false" customHeight="false" outlineLevel="0" collapsed="false">
      <c r="B30" s="31" t="s">
        <v>219</v>
      </c>
      <c r="C30" s="31" t="s">
        <v>220</v>
      </c>
      <c r="D30" s="32" t="n">
        <v>2012</v>
      </c>
      <c r="E30" s="24" t="n">
        <v>41337</v>
      </c>
      <c r="F30" s="33" t="n">
        <v>0</v>
      </c>
      <c r="G30" s="26" t="n">
        <f aca="false">Inputs!$C$13+Inputs!$C$14*M30+Inputs!$C$15*N30+Inputs!$C$16*O30+Inputs!$C$17*P30+Inputs!$C$18*Q30+Inputs!$C$19*R30+Inputs!$C$20*S30+Inputs!$C$21*T30</f>
        <v>-2.92843633492283</v>
      </c>
      <c r="H30" s="26" t="n">
        <f aca="false">EXP(AB30)/(1+EXP(AB30))/Inputs!$C$32</f>
        <v>1.71929210214218</v>
      </c>
      <c r="I30" s="9" t="n">
        <f aca="false">IF(AND(F30=1,G30&gt;Inputs!$C$7),1,0)</f>
        <v>0</v>
      </c>
      <c r="J30" s="9" t="n">
        <f aca="false">IF(AND(F30=1,H30&gt;Inputs!$C$8),1,0)</f>
        <v>0</v>
      </c>
      <c r="K30" s="9" t="n">
        <f aca="false">MAX(I30,J30)</f>
        <v>0</v>
      </c>
      <c r="L30" s="9" t="n">
        <f aca="false">I30*J30</f>
        <v>0</v>
      </c>
      <c r="M30" s="17" t="n">
        <f aca="false">IFERROR((AK30/AD30)/(BD30/AW30),1)</f>
        <v>1</v>
      </c>
      <c r="N30" s="17" t="n">
        <f aca="false">IFERROR(((AW30-AX30)/AW30)/((AD30-AE30)/AD30),1)</f>
        <v>1</v>
      </c>
      <c r="O30" s="17" t="n">
        <f aca="false">IFERROR((1-(AM30+AO30)/AN30)/(1-(BF30+BH30)/BG30),1)</f>
        <v>1</v>
      </c>
      <c r="P30" s="17" t="n">
        <f aca="false">IFERROR(AD30/AW30,1)</f>
        <v>1.08705638931936</v>
      </c>
      <c r="Q30" s="17" t="n">
        <f aca="false">IFERROR((AZ30/(AZ30+BH30))/(AG30/(AG30+AO30)),1)</f>
        <v>1</v>
      </c>
      <c r="R30" s="17" t="n">
        <f aca="false">IFERROR((AF30/AD30)/(AY30/AW30),1)</f>
        <v>1.16740510546446</v>
      </c>
      <c r="S30" s="17" t="n">
        <f aca="false">IFERROR((AH30-AI30)/AN30,0)</f>
        <v>-0.106282743333151</v>
      </c>
      <c r="T30" s="17" t="n">
        <f aca="false">IFERROR(((AS30+N(AU30))/AN30)/((BL30+N(BN30))/BG30),1)</f>
        <v>1</v>
      </c>
      <c r="U30" s="17" t="n">
        <f aca="false">IFERROR((((AM30-AP30-N(AQ30))-(AS30-N(AV30))+(AN30-AM30-N(AR30))-(AT30-AS30-N(AU30))+(N(AQ30)+N(AR30))-(N(AU30)+N(AV30)))-((BF30-BI30-N(BJ30))-(BL30-N(BO30))+(BG30-BF30-N(BK30))-(BM30-BL30-N(BN30))+(N(BJ30)+N(BK30))-(N(BN30)+N(BO30))))/((AN30+BG30)/2),0)</f>
        <v>0</v>
      </c>
      <c r="V30" s="17" t="n">
        <f aca="false">IFERROR((AK30-BD30)/((AN30+BG30)/2),0)</f>
        <v>0</v>
      </c>
      <c r="W30" s="17" t="n">
        <f aca="false">IFERROR((N(AL30)-N(BE30))/((AN30+BG30)/2),0)</f>
        <v>0.00106202299755869</v>
      </c>
      <c r="X30" s="17" t="n">
        <f aca="false">IFERROR((AN30-N(AO30)-AP30)/AN30,0)</f>
        <v>0.915415366066138</v>
      </c>
      <c r="Y30" s="17" t="n">
        <f aca="false">IF(COUNT(BP30,BQ30,BR30,BS30)=4,IFERROR((AD30-(AK30-BD30))/(AW30-(BD30-BP30))-1,0),0)</f>
        <v>0</v>
      </c>
      <c r="Z30" s="17" t="n">
        <f aca="false">IF(COUNT(BP30,BQ30,BR30,BS30)=4,IFERROR(AH30/((AN30+BG30)/2)-BA30/((BG30+BR30)/2),0),0)</f>
        <v>0</v>
      </c>
      <c r="AA30" s="9" t="n">
        <f aca="false">IF(N(AJ30)&gt;0,1,0)</f>
        <v>1</v>
      </c>
      <c r="AB30" s="17" t="n">
        <f aca="false">Inputs!$C$24+Inputs!$C$25*U30+Inputs!$C$26*V30+Inputs!$C$27*W30+Inputs!$C$28*X30+Inputs!$C$29*Y30+Inputs!$C$30*Z30+Inputs!$C$31*AA30</f>
        <v>-5.05112812116502</v>
      </c>
      <c r="AD30" s="30" t="n">
        <v>9020.807</v>
      </c>
      <c r="AE30" s="30" t="s">
        <v>185</v>
      </c>
      <c r="AF30" s="30" t="n">
        <v>945.784</v>
      </c>
      <c r="AG30" s="30" t="s">
        <v>185</v>
      </c>
      <c r="AH30" s="30" t="n">
        <v>243.079</v>
      </c>
      <c r="AI30" s="30" t="n">
        <v>2717.983</v>
      </c>
      <c r="AJ30" s="30" t="n">
        <v>2237.28</v>
      </c>
      <c r="AK30" s="30" t="s">
        <v>185</v>
      </c>
      <c r="AL30" s="30" t="n">
        <v>105.728</v>
      </c>
      <c r="AM30" s="30" t="s">
        <v>185</v>
      </c>
      <c r="AN30" s="30" t="n">
        <v>23286.038</v>
      </c>
      <c r="AO30" s="30" t="n">
        <v>1436.386</v>
      </c>
      <c r="AP30" s="30" t="n">
        <v>533.255</v>
      </c>
      <c r="AQ30" s="30" t="s">
        <v>185</v>
      </c>
      <c r="AR30" s="30" t="s">
        <v>185</v>
      </c>
      <c r="AS30" s="30" t="s">
        <v>185</v>
      </c>
      <c r="AT30" s="30" t="n">
        <v>20778.733</v>
      </c>
      <c r="AU30" s="30" t="s">
        <v>185</v>
      </c>
      <c r="AV30" s="30" t="s">
        <v>185</v>
      </c>
      <c r="AW30" s="30" t="n">
        <v>8298.38</v>
      </c>
      <c r="AX30" s="30" t="s">
        <v>185</v>
      </c>
      <c r="AY30" s="30" t="n">
        <v>745.278</v>
      </c>
      <c r="AZ30" s="30" t="s">
        <v>185</v>
      </c>
      <c r="BA30" s="30" t="n">
        <v>195.73</v>
      </c>
      <c r="BB30" s="30" t="n">
        <v>2233.339</v>
      </c>
      <c r="BC30" s="30" t="n">
        <v>3062.479</v>
      </c>
      <c r="BD30" s="30" t="s">
        <v>185</v>
      </c>
      <c r="BE30" s="30" t="n">
        <v>83.978</v>
      </c>
      <c r="BF30" s="30" t="s">
        <v>185</v>
      </c>
      <c r="BG30" s="30" t="n">
        <v>17673.527</v>
      </c>
      <c r="BH30" s="30" t="n">
        <v>1251.854</v>
      </c>
      <c r="BI30" s="30" t="n">
        <v>931.779</v>
      </c>
      <c r="BJ30" s="30" t="s">
        <v>185</v>
      </c>
      <c r="BK30" s="30" t="s">
        <v>185</v>
      </c>
      <c r="BL30" s="30" t="s">
        <v>185</v>
      </c>
      <c r="BM30" s="30" t="n">
        <v>15438.852</v>
      </c>
      <c r="BN30" s="30" t="s">
        <v>185</v>
      </c>
      <c r="BO30" s="30" t="s">
        <v>185</v>
      </c>
      <c r="BP30" s="30" t="s">
        <v>185</v>
      </c>
      <c r="BQ30" s="30" t="n">
        <v>7562.534</v>
      </c>
      <c r="BR30" s="30" t="n">
        <v>17344.95</v>
      </c>
      <c r="BS30" s="30" t="n">
        <v>-48.044</v>
      </c>
    </row>
    <row r="31" customFormat="false" ht="15" hidden="false" customHeight="false" outlineLevel="0" collapsed="false">
      <c r="B31" s="31" t="s">
        <v>219</v>
      </c>
      <c r="C31" s="31" t="s">
        <v>220</v>
      </c>
      <c r="D31" s="32" t="n">
        <v>2013</v>
      </c>
      <c r="E31" s="24" t="n">
        <v>41717</v>
      </c>
      <c r="F31" s="33" t="n">
        <v>0</v>
      </c>
      <c r="G31" s="26" t="n">
        <f aca="false">Inputs!$C$13+Inputs!$C$14*M31+Inputs!$C$15*N31+Inputs!$C$16*O31+Inputs!$C$17*P31+Inputs!$C$18*Q31+Inputs!$C$19*R31+Inputs!$C$20*S31+Inputs!$C$21*T31</f>
        <v>-2.90468465977939</v>
      </c>
      <c r="H31" s="26" t="n">
        <f aca="false">EXP(AB31)/(1+EXP(AB31))/Inputs!$C$32</f>
        <v>1.73563438613179</v>
      </c>
      <c r="I31" s="9" t="n">
        <f aca="false">IF(AND(F31=1,G31&gt;Inputs!$C$7),1,0)</f>
        <v>0</v>
      </c>
      <c r="J31" s="9" t="n">
        <f aca="false">IF(AND(F31=1,H31&gt;Inputs!$C$8),1,0)</f>
        <v>0</v>
      </c>
      <c r="K31" s="9" t="n">
        <f aca="false">MAX(I31,J31)</f>
        <v>0</v>
      </c>
      <c r="L31" s="9" t="n">
        <f aca="false">I31*J31</f>
        <v>0</v>
      </c>
      <c r="M31" s="17" t="n">
        <f aca="false">IFERROR((AK31/AD31)/(BD31/AW31),1)</f>
        <v>1</v>
      </c>
      <c r="N31" s="17" t="n">
        <f aca="false">IFERROR(((AW31-AX31)/AW31)/((AD31-AE31)/AD31),1)</f>
        <v>1</v>
      </c>
      <c r="O31" s="17" t="n">
        <f aca="false">IFERROR((1-(AM31+AO31)/AN31)/(1-(BF31+BH31)/BG31),1)</f>
        <v>1</v>
      </c>
      <c r="P31" s="17" t="n">
        <f aca="false">IFERROR(AD31/AW31,1)</f>
        <v>1.19357555208368</v>
      </c>
      <c r="Q31" s="17" t="n">
        <f aca="false">IFERROR((AZ31/(AZ31+BH31))/(AG31/(AG31+AO31)),1)</f>
        <v>1</v>
      </c>
      <c r="R31" s="17" t="n">
        <f aca="false">IFERROR((AF31/AD31)/(AY31/AW31),1)</f>
        <v>0.884638307903537</v>
      </c>
      <c r="S31" s="17" t="n">
        <f aca="false">IFERROR((AH31-AI31)/AN31,0)</f>
        <v>-0.131907728847749</v>
      </c>
      <c r="T31" s="17" t="n">
        <f aca="false">IFERROR(((AS31+N(AU31))/AN31)/((BL31+N(BN31))/BG31),1)</f>
        <v>1</v>
      </c>
      <c r="U31" s="17" t="n">
        <f aca="false">IFERROR((((AM31-AP31-N(AQ31))-(AS31-N(AV31))+(AN31-AM31-N(AR31))-(AT31-AS31-N(AU31))+(N(AQ31)+N(AR31))-(N(AU31)+N(AV31)))-((BF31-BI31-N(BJ31))-(BL31-N(BO31))+(BG31-BF31-N(BK31))-(BM31-BL31-N(BN31))+(N(BJ31)+N(BK31))-(N(BN31)+N(BO31))))/((AN31+BG31)/2),0)</f>
        <v>0</v>
      </c>
      <c r="V31" s="17" t="n">
        <f aca="false">IFERROR((AK31-BD31)/((AN31+BG31)/2),0)</f>
        <v>0</v>
      </c>
      <c r="W31" s="17" t="n">
        <f aca="false">IFERROR((N(AL31)-N(BE31))/((AN31+BG31)/2),0)</f>
        <v>-0.000560051992886504</v>
      </c>
      <c r="X31" s="17" t="n">
        <f aca="false">IFERROR((AN31-N(AO31)-AP31)/AN31,0)</f>
        <v>0.921202680938979</v>
      </c>
      <c r="Y31" s="17" t="n">
        <f aca="false">IF(COUNT(BP31,BQ31,BR31,BS31)=4,IFERROR((AD31-(AK31-BD31))/(AW31-(BD31-BP31))-1,0),0)</f>
        <v>0</v>
      </c>
      <c r="Z31" s="17" t="n">
        <f aca="false">IF(COUNT(BP31,BQ31,BR31,BS31)=4,IFERROR(AH31/((AN31+BG31)/2)-BA31/((BG31+BR31)/2),0),0)</f>
        <v>0</v>
      </c>
      <c r="AA31" s="9" t="n">
        <f aca="false">IF(N(AJ31)&gt;0,1,0)</f>
        <v>1</v>
      </c>
      <c r="AB31" s="17" t="n">
        <f aca="false">Inputs!$C$24+Inputs!$C$25*U31+Inputs!$C$26*V31+Inputs!$C$27*W31+Inputs!$C$28*X31+Inputs!$C$29*Y31+Inputs!$C$30*Z31+Inputs!$C$31*AA31</f>
        <v>-5.04160691634529</v>
      </c>
      <c r="AD31" s="30" t="n">
        <v>10771.9</v>
      </c>
      <c r="AE31" s="30" t="s">
        <v>185</v>
      </c>
      <c r="AF31" s="30" t="n">
        <v>1022.2</v>
      </c>
      <c r="AG31" s="30" t="s">
        <v>185</v>
      </c>
      <c r="AH31" s="30" t="n">
        <v>346.2</v>
      </c>
      <c r="AI31" s="30" t="n">
        <v>3589.6</v>
      </c>
      <c r="AJ31" s="30" t="n">
        <v>1774.7</v>
      </c>
      <c r="AK31" s="30" t="s">
        <v>185</v>
      </c>
      <c r="AL31" s="30" t="n">
        <v>92.3</v>
      </c>
      <c r="AM31" s="30" t="s">
        <v>185</v>
      </c>
      <c r="AN31" s="30" t="n">
        <v>24588.4</v>
      </c>
      <c r="AO31" s="30" t="n">
        <v>1514.3</v>
      </c>
      <c r="AP31" s="30" t="n">
        <v>423.2</v>
      </c>
      <c r="AQ31" s="30" t="s">
        <v>185</v>
      </c>
      <c r="AR31" s="30" t="s">
        <v>185</v>
      </c>
      <c r="AS31" s="30" t="s">
        <v>185</v>
      </c>
      <c r="AT31" s="30" t="n">
        <v>21817.2</v>
      </c>
      <c r="AU31" s="30" t="s">
        <v>185</v>
      </c>
      <c r="AV31" s="30" t="s">
        <v>185</v>
      </c>
      <c r="AW31" s="30" t="n">
        <v>9024.9</v>
      </c>
      <c r="AX31" s="30" t="s">
        <v>185</v>
      </c>
      <c r="AY31" s="30" t="n">
        <v>968.1</v>
      </c>
      <c r="AZ31" s="30" t="s">
        <v>185</v>
      </c>
      <c r="BA31" s="30" t="n">
        <v>238.6</v>
      </c>
      <c r="BB31" s="30" t="n">
        <v>2709.7</v>
      </c>
      <c r="BC31" s="30" t="n">
        <v>2237.3</v>
      </c>
      <c r="BD31" s="30" t="s">
        <v>185</v>
      </c>
      <c r="BE31" s="30" t="n">
        <v>105.7</v>
      </c>
      <c r="BF31" s="30" t="s">
        <v>185</v>
      </c>
      <c r="BG31" s="30" t="n">
        <v>23264.3</v>
      </c>
      <c r="BH31" s="30" t="n">
        <v>1436.4</v>
      </c>
      <c r="BI31" s="30" t="n">
        <v>545.5</v>
      </c>
      <c r="BJ31" s="30" t="s">
        <v>185</v>
      </c>
      <c r="BK31" s="30" t="s">
        <v>185</v>
      </c>
      <c r="BL31" s="30" t="s">
        <v>185</v>
      </c>
      <c r="BM31" s="30" t="n">
        <v>20778.1</v>
      </c>
      <c r="BN31" s="30" t="s">
        <v>185</v>
      </c>
      <c r="BO31" s="30" t="s">
        <v>185</v>
      </c>
      <c r="BP31" s="30" t="s">
        <v>185</v>
      </c>
      <c r="BQ31" s="30" t="n">
        <v>8299.3</v>
      </c>
      <c r="BR31" s="30" t="n">
        <v>17673.527</v>
      </c>
      <c r="BS31" s="30" t="n">
        <v>183.8</v>
      </c>
    </row>
    <row r="32" customFormat="false" ht="15" hidden="false" customHeight="false" outlineLevel="0" collapsed="false">
      <c r="B32" s="31" t="s">
        <v>221</v>
      </c>
      <c r="C32" s="31" t="s">
        <v>222</v>
      </c>
      <c r="D32" s="32" t="n">
        <v>2013</v>
      </c>
      <c r="E32" s="24" t="n">
        <v>41711</v>
      </c>
      <c r="F32" s="33" t="n">
        <v>1</v>
      </c>
      <c r="G32" s="26" t="n">
        <f aca="false">Inputs!$C$13+Inputs!$C$14*M32+Inputs!$C$15*N32+Inputs!$C$16*O32+Inputs!$C$17*P32+Inputs!$C$18*Q32+Inputs!$C$19*R32+Inputs!$C$20*S32+Inputs!$C$21*T32</f>
        <v>-2.09710249981266</v>
      </c>
      <c r="H32" s="26" t="n">
        <f aca="false">EXP(AB32)/(1+EXP(AB32))/Inputs!$C$32</f>
        <v>2.19218464548751</v>
      </c>
      <c r="I32" s="9" t="n">
        <f aca="false">IF(AND(F32=1,G32&gt;Inputs!$C$7),1,0)</f>
        <v>0</v>
      </c>
      <c r="J32" s="9" t="n">
        <f aca="false">IF(AND(F32=1,H32&gt;Inputs!$C$8),1,0)</f>
        <v>1</v>
      </c>
      <c r="K32" s="9" t="n">
        <f aca="false">MAX(I32,J32)</f>
        <v>1</v>
      </c>
      <c r="L32" s="9" t="n">
        <f aca="false">I32*J32</f>
        <v>0</v>
      </c>
      <c r="M32" s="17" t="n">
        <f aca="false">IFERROR((AK32/AD32)/(BD32/AW32),1)</f>
        <v>1.09761762248282</v>
      </c>
      <c r="N32" s="17" t="n">
        <f aca="false">IFERROR(((AW32-AX32)/AW32)/((AD32-AE32)/AD32),1)</f>
        <v>1</v>
      </c>
      <c r="O32" s="17" t="n">
        <f aca="false">IFERROR((1-(AM32+AO32)/AN32)/(1-(BF32+BH32)/BG32),1)</f>
        <v>0.966823621905765</v>
      </c>
      <c r="P32" s="17" t="n">
        <f aca="false">IFERROR(AD32/AW32,1)</f>
        <v>1.26836998790707</v>
      </c>
      <c r="Q32" s="17" t="n">
        <f aca="false">IFERROR((AZ32/(AZ32+BH32))/(AG32/(AG32+AO32)),1)</f>
        <v>0.867375011772434</v>
      </c>
      <c r="R32" s="17" t="n">
        <f aca="false">IFERROR((AF32/AD32)/(AY32/AW32),1)</f>
        <v>1</v>
      </c>
      <c r="S32" s="17" t="n">
        <f aca="false">IFERROR((AH32-AI32)/AN32,0)</f>
        <v>0.0147646465109878</v>
      </c>
      <c r="T32" s="17" t="n">
        <f aca="false">IFERROR(((AS32+N(AU32))/AN32)/((BL32+N(BN32))/BG32),1)</f>
        <v>0.959404869537086</v>
      </c>
      <c r="U32" s="17" t="n">
        <f aca="false">IFERROR((((AM32-AP32-N(AQ32))-(AS32-N(AV32))+(AN32-AM32-N(AR32))-(AT32-AS32-N(AU32))+(N(AQ32)+N(AR32))-(N(AU32)+N(AV32)))-((BF32-BI32-N(BJ32))-(BL32-N(BO32))+(BG32-BF32-N(BK32))-(BM32-BL32-N(BN32))+(N(BJ32)+N(BK32))-(N(BN32)+N(BO32))))/((AN32+BG32)/2),0)</f>
        <v>0.145936129734569</v>
      </c>
      <c r="V32" s="17" t="n">
        <f aca="false">IFERROR((AK32-BD32)/((AN32+BG32)/2),0)</f>
        <v>0.0613192190695166</v>
      </c>
      <c r="W32" s="17" t="n">
        <f aca="false">IFERROR((N(AL32)-N(BE32))/((AN32+BG32)/2),0)</f>
        <v>0</v>
      </c>
      <c r="X32" s="17" t="n">
        <f aca="false">IFERROR((AN32-N(AO32)-AP32)/AN32,0)</f>
        <v>0.883016011377713</v>
      </c>
      <c r="Y32" s="17" t="n">
        <f aca="false">IF(COUNT(BP32,BQ32,BR32,BS32)=4,IFERROR((AD32-(AK32-BD32))/(AW32-(BD32-BP32))-1,0),0)</f>
        <v>0.24737429530807</v>
      </c>
      <c r="Z32" s="17" t="n">
        <f aca="false">IF(COUNT(BP32,BQ32,BR32,BS32)=4,IFERROR(AH32/((AN32+BG32)/2)-BA32/((BG32+BR32)/2),0),0)</f>
        <v>0.00199648910670922</v>
      </c>
      <c r="AA32" s="9" t="n">
        <f aca="false">IF(N(AJ32)&gt;0,1,0)</f>
        <v>1</v>
      </c>
      <c r="AB32" s="17" t="n">
        <f aca="false">Inputs!$C$24+Inputs!$C$25*U32+Inputs!$C$26*V32+Inputs!$C$27*W32+Inputs!$C$28*X32+Inputs!$C$29*Y32+Inputs!$C$30*Z32+Inputs!$C$31*AA32</f>
        <v>-4.80637970072593</v>
      </c>
      <c r="AD32" s="30" t="n">
        <v>1361.41</v>
      </c>
      <c r="AE32" s="30" t="s">
        <v>185</v>
      </c>
      <c r="AF32" s="30" t="s">
        <v>185</v>
      </c>
      <c r="AG32" s="30" t="n">
        <v>18.49</v>
      </c>
      <c r="AH32" s="30" t="n">
        <v>48.996</v>
      </c>
      <c r="AI32" s="30" t="n">
        <v>36.123</v>
      </c>
      <c r="AJ32" s="30" t="n">
        <v>75.059</v>
      </c>
      <c r="AK32" s="30" t="n">
        <v>171.165</v>
      </c>
      <c r="AL32" s="30" t="s">
        <v>185</v>
      </c>
      <c r="AM32" s="30" t="n">
        <v>213.46</v>
      </c>
      <c r="AN32" s="30" t="n">
        <v>871.88</v>
      </c>
      <c r="AO32" s="30" t="n">
        <v>96.558</v>
      </c>
      <c r="AP32" s="30" t="n">
        <v>5.438</v>
      </c>
      <c r="AQ32" s="30" t="s">
        <v>185</v>
      </c>
      <c r="AR32" s="30" t="s">
        <v>185</v>
      </c>
      <c r="AS32" s="30" t="n">
        <v>111.35</v>
      </c>
      <c r="AT32" s="30" t="n">
        <v>371.515</v>
      </c>
      <c r="AU32" s="30" t="n">
        <v>181.702</v>
      </c>
      <c r="AV32" s="30" t="n">
        <v>10.938</v>
      </c>
      <c r="AW32" s="30" t="n">
        <v>1073.354</v>
      </c>
      <c r="AX32" s="30" t="s">
        <v>185</v>
      </c>
      <c r="AY32" s="30" t="s">
        <v>185</v>
      </c>
      <c r="AZ32" s="30" t="n">
        <v>11.108</v>
      </c>
      <c r="BA32" s="30" t="n">
        <v>37.53</v>
      </c>
      <c r="BB32" s="30" t="n">
        <v>36.723</v>
      </c>
      <c r="BC32" s="30" t="n">
        <v>97.619</v>
      </c>
      <c r="BD32" s="30" t="n">
        <v>122.947</v>
      </c>
      <c r="BE32" s="30" t="s">
        <v>185</v>
      </c>
      <c r="BF32" s="30" t="n">
        <v>165.116</v>
      </c>
      <c r="BG32" s="30" t="n">
        <v>700.808</v>
      </c>
      <c r="BH32" s="30" t="n">
        <v>68.576</v>
      </c>
      <c r="BI32" s="30" t="n">
        <v>11.908</v>
      </c>
      <c r="BJ32" s="30" t="s">
        <v>185</v>
      </c>
      <c r="BK32" s="30" t="s">
        <v>185</v>
      </c>
      <c r="BL32" s="30" t="n">
        <v>101.019</v>
      </c>
      <c r="BM32" s="30" t="n">
        <v>308.729</v>
      </c>
      <c r="BN32" s="30" t="n">
        <v>144.5</v>
      </c>
      <c r="BO32" s="30" t="n">
        <v>17</v>
      </c>
      <c r="BP32" s="30" t="n">
        <v>102.358</v>
      </c>
      <c r="BQ32" s="30" t="n">
        <v>843.627</v>
      </c>
      <c r="BR32" s="30" t="n">
        <v>543.718</v>
      </c>
      <c r="BS32" s="30" t="n">
        <v>25.871</v>
      </c>
    </row>
    <row r="33" customFormat="false" ht="15" hidden="false" customHeight="false" outlineLevel="0" collapsed="false">
      <c r="B33" s="31" t="s">
        <v>221</v>
      </c>
      <c r="C33" s="31" t="s">
        <v>222</v>
      </c>
      <c r="D33" s="32" t="n">
        <v>2014</v>
      </c>
      <c r="E33" s="24" t="n">
        <v>42065</v>
      </c>
      <c r="F33" s="33" t="n">
        <v>1</v>
      </c>
      <c r="G33" s="26" t="n">
        <f aca="false">Inputs!$C$13+Inputs!$C$14*M33+Inputs!$C$15*N33+Inputs!$C$16*O33+Inputs!$C$17*P33+Inputs!$C$18*Q33+Inputs!$C$19*R33+Inputs!$C$20*S33+Inputs!$C$21*T33</f>
        <v>-2.06807001516008</v>
      </c>
      <c r="H33" s="26" t="n">
        <f aca="false">EXP(AB33)/(1+EXP(AB33))/Inputs!$C$32</f>
        <v>2.30329727973728</v>
      </c>
      <c r="I33" s="9" t="n">
        <f aca="false">IF(AND(F33=1,G33&gt;Inputs!$C$7),1,0)</f>
        <v>0</v>
      </c>
      <c r="J33" s="9" t="n">
        <f aca="false">IF(AND(F33=1,H33&gt;Inputs!$C$8),1,0)</f>
        <v>1</v>
      </c>
      <c r="K33" s="9" t="n">
        <f aca="false">MAX(I33,J33)</f>
        <v>1</v>
      </c>
      <c r="L33" s="9" t="n">
        <f aca="false">I33*J33</f>
        <v>0</v>
      </c>
      <c r="M33" s="17" t="n">
        <f aca="false">IFERROR((AK33/AD33)/(BD33/AW33),1)</f>
        <v>1.20774815746055</v>
      </c>
      <c r="N33" s="17" t="n">
        <f aca="false">IFERROR(((AW33-AX33)/AW33)/((AD33-AE33)/AD33),1)</f>
        <v>1</v>
      </c>
      <c r="O33" s="17" t="n">
        <f aca="false">IFERROR((1-(AM33+AO33)/AN33)/(1-(BF33+BH33)/BG33),1)</f>
        <v>0.937586388008799</v>
      </c>
      <c r="P33" s="17" t="n">
        <f aca="false">IFERROR(AD33/AW33,1)</f>
        <v>1.37564436870597</v>
      </c>
      <c r="Q33" s="17" t="n">
        <f aca="false">IFERROR((AZ33/(AZ33+BH33))/(AG33/(AG33+AO33)),1)</f>
        <v>0.990739831311138</v>
      </c>
      <c r="R33" s="17" t="n">
        <f aca="false">IFERROR((AF33/AD33)/(AY33/AW33),1)</f>
        <v>1</v>
      </c>
      <c r="S33" s="17" t="n">
        <f aca="false">IFERROR((AH33-AI33)/AN33,0)</f>
        <v>0.00901877852156906</v>
      </c>
      <c r="T33" s="17" t="n">
        <f aca="false">IFERROR(((AS33+N(AU33))/AN33)/((BL33+N(BN33))/BG33),1)</f>
        <v>1.39814049837392</v>
      </c>
      <c r="U33" s="17" t="n">
        <f aca="false">IFERROR((((AM33-AP33-N(AQ33))-(AS33-N(AV33))+(AN33-AM33-N(AR33))-(AT33-AS33-N(AU33))+(N(AQ33)+N(AR33))-(N(AU33)+N(AV33)))-((BF33-BI33-N(BJ33))-(BL33-N(BO33))+(BG33-BF33-N(BK33))-(BM33-BL33-N(BN33))+(N(BJ33)+N(BK33))-(N(BN33)+N(BO33))))/((AN33+BG33)/2),0)</f>
        <v>0.0493055359909846</v>
      </c>
      <c r="V33" s="17" t="n">
        <f aca="false">IFERROR((AK33-BD33)/((AN33+BG33)/2),0)</f>
        <v>0.106319199887308</v>
      </c>
      <c r="W33" s="17" t="n">
        <f aca="false">IFERROR((N(AL33)-N(BE33))/((AN33+BG33)/2),0)</f>
        <v>0</v>
      </c>
      <c r="X33" s="17" t="n">
        <f aca="false">IFERROR((AN33-N(AO33)-AP33)/AN33,0)</f>
        <v>0.874230812039879</v>
      </c>
      <c r="Y33" s="17" t="n">
        <f aca="false">IF(COUNT(BP33,BQ33,BR33,BS33)=4,IFERROR((AD33-(AK33-BD33))/(AW33-(BD33-BP33))-1,0),0)</f>
        <v>0.339942674033957</v>
      </c>
      <c r="Z33" s="17" t="n">
        <f aca="false">IF(COUNT(BP33,BQ33,BR33,BS33)=4,IFERROR(AH33/((AN33+BG33)/2)-BA33/((BG33+BR33)/2),0),0)</f>
        <v>-0.0134998555310508</v>
      </c>
      <c r="AA33" s="9" t="n">
        <f aca="false">IF(N(AJ33)&gt;0,1,0)</f>
        <v>1</v>
      </c>
      <c r="AB33" s="17" t="n">
        <f aca="false">Inputs!$C$24+Inputs!$C$25*U33+Inputs!$C$26*V33+Inputs!$C$27*W33+Inputs!$C$28*X33+Inputs!$C$29*Y33+Inputs!$C$30*Z33+Inputs!$C$31*AA33</f>
        <v>-4.75652204160921</v>
      </c>
      <c r="AD33" s="30" t="n">
        <v>1872.816</v>
      </c>
      <c r="AE33" s="30" t="s">
        <v>185</v>
      </c>
      <c r="AF33" s="30" t="s">
        <v>185</v>
      </c>
      <c r="AG33" s="30" t="n">
        <v>25.078</v>
      </c>
      <c r="AH33" s="30" t="n">
        <v>51.974</v>
      </c>
      <c r="AI33" s="30" t="n">
        <v>40.63</v>
      </c>
      <c r="AJ33" s="30" t="n">
        <v>33.75</v>
      </c>
      <c r="AK33" s="30" t="n">
        <v>284.379</v>
      </c>
      <c r="AL33" s="30" t="s">
        <v>185</v>
      </c>
      <c r="AM33" s="30" t="n">
        <v>350.989</v>
      </c>
      <c r="AN33" s="30" t="n">
        <v>1257.82</v>
      </c>
      <c r="AO33" s="30" t="n">
        <v>146.85</v>
      </c>
      <c r="AP33" s="30" t="n">
        <v>11.345</v>
      </c>
      <c r="AQ33" s="30" t="s">
        <v>185</v>
      </c>
      <c r="AR33" s="30" t="s">
        <v>185</v>
      </c>
      <c r="AS33" s="30" t="n">
        <v>171.095</v>
      </c>
      <c r="AT33" s="30" t="n">
        <v>699.045</v>
      </c>
      <c r="AU33" s="30" t="n">
        <v>420</v>
      </c>
      <c r="AV33" s="30" t="n">
        <v>10</v>
      </c>
      <c r="AW33" s="30" t="n">
        <v>1361.41</v>
      </c>
      <c r="AX33" s="30" t="s">
        <v>185</v>
      </c>
      <c r="AY33" s="30" t="s">
        <v>185</v>
      </c>
      <c r="AZ33" s="30" t="n">
        <v>16.311</v>
      </c>
      <c r="BA33" s="30" t="n">
        <v>48.996</v>
      </c>
      <c r="BB33" s="30" t="n">
        <v>36.123</v>
      </c>
      <c r="BC33" s="30" t="n">
        <v>75.059</v>
      </c>
      <c r="BD33" s="30" t="n">
        <v>171.165</v>
      </c>
      <c r="BE33" s="30" t="s">
        <v>185</v>
      </c>
      <c r="BF33" s="30" t="n">
        <v>213.46</v>
      </c>
      <c r="BG33" s="30" t="n">
        <v>871.88</v>
      </c>
      <c r="BH33" s="30" t="n">
        <v>96.558</v>
      </c>
      <c r="BI33" s="30" t="n">
        <v>5.438</v>
      </c>
      <c r="BJ33" s="30" t="s">
        <v>185</v>
      </c>
      <c r="BK33" s="30" t="s">
        <v>185</v>
      </c>
      <c r="BL33" s="30" t="n">
        <v>111.35</v>
      </c>
      <c r="BM33" s="30" t="n">
        <v>371.515</v>
      </c>
      <c r="BN33" s="30" t="n">
        <v>181.702</v>
      </c>
      <c r="BO33" s="30" t="n">
        <v>10.938</v>
      </c>
      <c r="BP33" s="30" t="n">
        <v>122.947</v>
      </c>
      <c r="BQ33" s="30" t="n">
        <v>1073.354</v>
      </c>
      <c r="BR33" s="30" t="n">
        <v>700.808</v>
      </c>
      <c r="BS33" s="30" t="n">
        <v>37.53</v>
      </c>
    </row>
    <row r="34" customFormat="false" ht="15" hidden="false" customHeight="false" outlineLevel="0" collapsed="false">
      <c r="B34" s="31" t="s">
        <v>221</v>
      </c>
      <c r="C34" s="31" t="s">
        <v>222</v>
      </c>
      <c r="D34" s="32" t="n">
        <v>2015</v>
      </c>
      <c r="E34" s="24" t="n">
        <v>42430</v>
      </c>
      <c r="F34" s="33" t="n">
        <v>1</v>
      </c>
      <c r="G34" s="26" t="n">
        <f aca="false">Inputs!$C$13+Inputs!$C$14*M34+Inputs!$C$15*N34+Inputs!$C$16*O34+Inputs!$C$17*P34+Inputs!$C$18*Q34+Inputs!$C$19*R34+Inputs!$C$20*S34+Inputs!$C$21*T34</f>
        <v>-2.59457950317457</v>
      </c>
      <c r="H34" s="26" t="n">
        <f aca="false">EXP(AB34)/(1+EXP(AB34))/Inputs!$C$32</f>
        <v>1.56318272731594</v>
      </c>
      <c r="I34" s="9" t="n">
        <f aca="false">IF(AND(F34=1,G34&gt;Inputs!$C$7),1,0)</f>
        <v>0</v>
      </c>
      <c r="J34" s="9" t="n">
        <f aca="false">IF(AND(F34=1,H34&gt;Inputs!$C$8),1,0)</f>
        <v>0</v>
      </c>
      <c r="K34" s="9" t="n">
        <f aca="false">MAX(I34,J34)</f>
        <v>0</v>
      </c>
      <c r="L34" s="9" t="n">
        <f aca="false">I34*J34</f>
        <v>0</v>
      </c>
      <c r="M34" s="17" t="n">
        <f aca="false">IFERROR((AK34/AD34)/(BD34/AW34),1)</f>
        <v>0.898463377432643</v>
      </c>
      <c r="N34" s="17" t="n">
        <f aca="false">IFERROR(((AW34-AX34)/AW34)/((AD34-AE34)/AD34),1)</f>
        <v>1</v>
      </c>
      <c r="O34" s="17" t="n">
        <f aca="false">IFERROR((1-(AM34+AO34)/AN34)/(1-(BF34+BH34)/BG34),1)</f>
        <v>0.974181361722577</v>
      </c>
      <c r="P34" s="17" t="n">
        <f aca="false">IFERROR(AD34/AW34,1)</f>
        <v>1.06525093762548</v>
      </c>
      <c r="Q34" s="17" t="n">
        <f aca="false">IFERROR((AZ34/(AZ34+BH34))/(AG34/(AG34+AO34)),1)</f>
        <v>1.03821895620714</v>
      </c>
      <c r="R34" s="17" t="n">
        <f aca="false">IFERROR((AF34/AD34)/(AY34/AW34),1)</f>
        <v>1</v>
      </c>
      <c r="S34" s="17" t="n">
        <f aca="false">IFERROR((AH34-AI34)/AN34,0)</f>
        <v>-0.0191248939579602</v>
      </c>
      <c r="T34" s="17" t="n">
        <f aca="false">IFERROR(((AS34+N(AU34))/AN34)/((BL34+N(BN34))/BG34),1)</f>
        <v>0.95060770044335</v>
      </c>
      <c r="U34" s="17" t="n">
        <f aca="false">IFERROR((((AM34-AP34-N(AQ34))-(AS34-N(AV34))+(AN34-AM34-N(AR34))-(AT34-AS34-N(AU34))+(N(AQ34)+N(AR34))-(N(AU34)+N(AV34)))-((BF34-BI34-N(BJ34))-(BL34-N(BO34))+(BG34-BF34-N(BK34))-(BM34-BL34-N(BN34))+(N(BJ34)+N(BK34))-(N(BN34)+N(BO34))))/((AN34+BG34)/2),0)</f>
        <v>0.0442834503056375</v>
      </c>
      <c r="V34" s="17" t="n">
        <f aca="false">IFERROR((AK34-BD34)/((AN34+BG34)/2),0)</f>
        <v>-0.0094452474801128</v>
      </c>
      <c r="W34" s="17" t="n">
        <f aca="false">IFERROR((N(AL34)-N(BE34))/((AN34+BG34)/2),0)</f>
        <v>0</v>
      </c>
      <c r="X34" s="17" t="n">
        <f aca="false">IFERROR((AN34-N(AO34)-AP34)/AN34,0)</f>
        <v>0.844352530870016</v>
      </c>
      <c r="Y34" s="17" t="n">
        <f aca="false">IF(COUNT(BP34,BQ34,BR34,BS34)=4,IFERROR((AD34-(AK34-BD34))/(AW34-(BD34-BP34))-1,0),0)</f>
        <v>0.140725004859053</v>
      </c>
      <c r="Z34" s="17" t="n">
        <f aca="false">IF(COUNT(BP34,BQ34,BR34,BS34)=4,IFERROR(AH34/((AN34+BG34)/2)-BA34/((BG34+BR34)/2),0),0)</f>
        <v>-0.0116562588355651</v>
      </c>
      <c r="AA34" s="9" t="n">
        <f aca="false">IF(N(AJ34)&gt;0,1,0)</f>
        <v>1</v>
      </c>
      <c r="AB34" s="17" t="n">
        <f aca="false">Inputs!$C$24+Inputs!$C$25*U34+Inputs!$C$26*V34+Inputs!$C$27*W34+Inputs!$C$28*X34+Inputs!$C$29*Y34+Inputs!$C$30*Z34+Inputs!$C$31*AA34</f>
        <v>-5.14689793975606</v>
      </c>
      <c r="AD34" s="30" t="n">
        <v>1995.019</v>
      </c>
      <c r="AE34" s="30" t="s">
        <v>185</v>
      </c>
      <c r="AF34" s="30" t="s">
        <v>185</v>
      </c>
      <c r="AG34" s="30" t="n">
        <v>32.323</v>
      </c>
      <c r="AH34" s="30" t="n">
        <v>48</v>
      </c>
      <c r="AI34" s="30" t="n">
        <v>73.362</v>
      </c>
      <c r="AJ34" s="30" t="n">
        <v>110</v>
      </c>
      <c r="AK34" s="30" t="n">
        <v>272.176</v>
      </c>
      <c r="AL34" s="30" t="s">
        <v>185</v>
      </c>
      <c r="AM34" s="30" t="n">
        <v>347.817</v>
      </c>
      <c r="AN34" s="30" t="n">
        <v>1326.125</v>
      </c>
      <c r="AO34" s="30" t="n">
        <v>197.744</v>
      </c>
      <c r="AP34" s="30" t="n">
        <v>8.664</v>
      </c>
      <c r="AQ34" s="30" t="s">
        <v>185</v>
      </c>
      <c r="AR34" s="30" t="s">
        <v>185</v>
      </c>
      <c r="AS34" s="30" t="n">
        <v>168.014</v>
      </c>
      <c r="AT34" s="30" t="n">
        <v>712.818</v>
      </c>
      <c r="AU34" s="30" t="n">
        <v>424.399</v>
      </c>
      <c r="AV34" s="30" t="n">
        <v>15</v>
      </c>
      <c r="AW34" s="30" t="n">
        <v>1872.816</v>
      </c>
      <c r="AX34" s="30" t="s">
        <v>185</v>
      </c>
      <c r="AY34" s="30" t="s">
        <v>185</v>
      </c>
      <c r="AZ34" s="30" t="n">
        <v>25.078</v>
      </c>
      <c r="BA34" s="30" t="n">
        <v>51.974</v>
      </c>
      <c r="BB34" s="30" t="n">
        <v>40.63</v>
      </c>
      <c r="BC34" s="30" t="n">
        <v>33.75</v>
      </c>
      <c r="BD34" s="30" t="n">
        <v>284.379</v>
      </c>
      <c r="BE34" s="30" t="s">
        <v>185</v>
      </c>
      <c r="BF34" s="30" t="n">
        <v>350.989</v>
      </c>
      <c r="BG34" s="30" t="n">
        <v>1257.82</v>
      </c>
      <c r="BH34" s="30" t="n">
        <v>146.85</v>
      </c>
      <c r="BI34" s="30" t="n">
        <v>11.345</v>
      </c>
      <c r="BJ34" s="30" t="s">
        <v>185</v>
      </c>
      <c r="BK34" s="30" t="s">
        <v>185</v>
      </c>
      <c r="BL34" s="30" t="n">
        <v>171.095</v>
      </c>
      <c r="BM34" s="30" t="n">
        <v>699.045</v>
      </c>
      <c r="BN34" s="30" t="n">
        <v>420</v>
      </c>
      <c r="BO34" s="30" t="n">
        <v>10</v>
      </c>
      <c r="BP34" s="30" t="n">
        <v>171.165</v>
      </c>
      <c r="BQ34" s="30" t="n">
        <v>1361.41</v>
      </c>
      <c r="BR34" s="30" t="n">
        <v>871.88</v>
      </c>
      <c r="BS34" s="30" t="n">
        <v>48.996</v>
      </c>
    </row>
    <row r="35" customFormat="false" ht="15" hidden="false" customHeight="false" outlineLevel="0" collapsed="false">
      <c r="B35" s="31" t="s">
        <v>223</v>
      </c>
      <c r="C35" s="31" t="s">
        <v>224</v>
      </c>
      <c r="D35" s="32" t="n">
        <v>2016</v>
      </c>
      <c r="E35" s="24" t="n">
        <v>42789</v>
      </c>
      <c r="F35" s="33" t="n">
        <v>1</v>
      </c>
      <c r="G35" s="26" t="n">
        <f aca="false">Inputs!$C$13+Inputs!$C$14*M35+Inputs!$C$15*N35+Inputs!$C$16*O35+Inputs!$C$17*P35+Inputs!$C$18*Q35+Inputs!$C$19*R35+Inputs!$C$20*S35+Inputs!$C$21*T35</f>
        <v>-2.6562379851518</v>
      </c>
      <c r="H35" s="26" t="n">
        <f aca="false">EXP(AB35)/(1+EXP(AB35))/Inputs!$C$32</f>
        <v>0.612430611842011</v>
      </c>
      <c r="I35" s="9" t="n">
        <f aca="false">IF(AND(F35=1,G35&gt;Inputs!$C$7),1,0)</f>
        <v>0</v>
      </c>
      <c r="J35" s="9" t="n">
        <f aca="false">IF(AND(F35=1,H35&gt;Inputs!$C$8),1,0)</f>
        <v>0</v>
      </c>
      <c r="K35" s="9" t="n">
        <f aca="false">MAX(I35,J35)</f>
        <v>0</v>
      </c>
      <c r="L35" s="9" t="n">
        <f aca="false">I35*J35</f>
        <v>0</v>
      </c>
      <c r="M35" s="17" t="n">
        <f aca="false">IFERROR((AK35/AD35)/(BD35/AW35),1)</f>
        <v>0.611261976880368</v>
      </c>
      <c r="N35" s="17" t="n">
        <f aca="false">IFERROR(((AW35-AX35)/AW35)/((AD35-AE35)/AD35),1)</f>
        <v>0.868043028950065</v>
      </c>
      <c r="O35" s="17" t="n">
        <f aca="false">IFERROR((1-(AM35+AO35)/AN35)/(1-(BF35+BH35)/BG35),1)</f>
        <v>1.0050951191064</v>
      </c>
      <c r="P35" s="17" t="n">
        <f aca="false">IFERROR(AD35/AW35,1)</f>
        <v>1.44437779474316</v>
      </c>
      <c r="Q35" s="17" t="n">
        <f aca="false">IFERROR((AZ35/(AZ35+BH35))/(AG35/(AG35+AO35)),1)</f>
        <v>0.611462064125417</v>
      </c>
      <c r="R35" s="17" t="n">
        <f aca="false">IFERROR((AF35/AD35)/(AY35/AW35),1)</f>
        <v>0.763746865583099</v>
      </c>
      <c r="S35" s="17" t="n">
        <f aca="false">IFERROR((AH35-AI35)/AN35,0)</f>
        <v>-0.0133300132802125</v>
      </c>
      <c r="T35" s="17" t="n">
        <f aca="false">IFERROR(((AS35+N(AU35))/AN35)/((BL35+N(BN35))/BG35),1)</f>
        <v>1.24755868059104</v>
      </c>
      <c r="U35" s="17" t="n">
        <f aca="false">IFERROR((((AM35-AP35-N(AQ35))-(AS35-N(AV35))+(AN35-AM35-N(AR35))-(AT35-AS35-N(AU35))+(N(AQ35)+N(AR35))-(N(AU35)+N(AV35)))-((BF35-BI35-N(BJ35))-(BL35-N(BO35))+(BG35-BF35-N(BK35))-(BM35-BL35-N(BN35))+(N(BJ35)+N(BK35))-(N(BN35)+N(BO35))))/((AN35+BG35)/2),0)</f>
        <v>-0.0659593432818655</v>
      </c>
      <c r="V35" s="17" t="n">
        <f aca="false">IFERROR((AK35-BD35)/((AN35+BG35)/2),0)</f>
        <v>-0.000837944079555397</v>
      </c>
      <c r="W35" s="17" t="n">
        <f aca="false">IFERROR((N(AL35)-N(BE35))/((AN35+BG35)/2),0)</f>
        <v>0.000542199110300551</v>
      </c>
      <c r="X35" s="17" t="n">
        <f aca="false">IFERROR((AN35-N(AO35)-AP35)/AN35,0)</f>
        <v>0.909594953519256</v>
      </c>
      <c r="Y35" s="17" t="n">
        <f aca="false">IF(COUNT(BP35,BQ35,BR35,BS35)=4,IFERROR((AD35-(AK35-BD35))/(AW35-(BD35-BP35))-1,0),0)</f>
        <v>0.46439389767032</v>
      </c>
      <c r="Z35" s="17" t="n">
        <f aca="false">IF(COUNT(BP35,BQ35,BR35,BS35)=4,IFERROR(AH35/((AN35+BG35)/2)-BA35/((BG35+BR35)/2),0),0)</f>
        <v>0.0218897305378064</v>
      </c>
      <c r="AA35" s="9" t="n">
        <f aca="false">IF(N(AJ35)&gt;0,1,0)</f>
        <v>0</v>
      </c>
      <c r="AB35" s="17" t="n">
        <f aca="false">Inputs!$C$24+Inputs!$C$25*U35+Inputs!$C$26*V35+Inputs!$C$27*W35+Inputs!$C$28*X35+Inputs!$C$29*Y35+Inputs!$C$30*Z35+Inputs!$C$31*AA35</f>
        <v>-6.08747352458963</v>
      </c>
      <c r="AD35" s="30" t="n">
        <v>26487</v>
      </c>
      <c r="AE35" s="30" t="n">
        <v>16901</v>
      </c>
      <c r="AF35" s="30" t="n">
        <v>3444</v>
      </c>
      <c r="AG35" s="30" t="n">
        <v>1337</v>
      </c>
      <c r="AH35" s="30" t="n">
        <v>3632</v>
      </c>
      <c r="AI35" s="30" t="n">
        <v>5238</v>
      </c>
      <c r="AJ35" s="30" t="s">
        <v>185</v>
      </c>
      <c r="AK35" s="30" t="n">
        <v>769</v>
      </c>
      <c r="AL35" s="30" t="n">
        <v>2684</v>
      </c>
      <c r="AM35" s="30" t="n">
        <v>8753</v>
      </c>
      <c r="AN35" s="30" t="n">
        <v>120480</v>
      </c>
      <c r="AO35" s="30" t="n">
        <v>6688</v>
      </c>
      <c r="AP35" s="30" t="n">
        <v>4204</v>
      </c>
      <c r="AQ35" s="30" t="s">
        <v>185</v>
      </c>
      <c r="AR35" s="30" t="s">
        <v>185</v>
      </c>
      <c r="AS35" s="30" t="n">
        <v>9501</v>
      </c>
      <c r="AT35" s="30" t="n">
        <v>62906</v>
      </c>
      <c r="AU35" s="30" t="n">
        <v>29713</v>
      </c>
      <c r="AV35" s="30" t="n">
        <v>2046</v>
      </c>
      <c r="AW35" s="30" t="n">
        <v>18338</v>
      </c>
      <c r="AX35" s="30" t="n">
        <v>12577</v>
      </c>
      <c r="AY35" s="30" t="n">
        <v>3122</v>
      </c>
      <c r="AZ35" s="30" t="n">
        <v>740</v>
      </c>
      <c r="BA35" s="30" t="n">
        <v>634</v>
      </c>
      <c r="BB35" s="30" t="n">
        <v>2467</v>
      </c>
      <c r="BC35" s="30" t="s">
        <v>185</v>
      </c>
      <c r="BD35" s="30" t="n">
        <v>871</v>
      </c>
      <c r="BE35" s="30" t="n">
        <v>2618</v>
      </c>
      <c r="BF35" s="30" t="n">
        <v>9780</v>
      </c>
      <c r="BG35" s="30" t="n">
        <v>122973</v>
      </c>
      <c r="BH35" s="30" t="n">
        <v>6524</v>
      </c>
      <c r="BI35" s="30" t="n">
        <v>4837</v>
      </c>
      <c r="BJ35" s="30" t="s">
        <v>185</v>
      </c>
      <c r="BK35" s="30" t="s">
        <v>185</v>
      </c>
      <c r="BL35" s="30" t="n">
        <v>6932</v>
      </c>
      <c r="BM35" s="30" t="n">
        <v>56737</v>
      </c>
      <c r="BN35" s="30" t="n">
        <v>25151</v>
      </c>
      <c r="BO35" s="30" t="n">
        <v>79</v>
      </c>
      <c r="BP35" s="30" t="n">
        <v>690</v>
      </c>
      <c r="BQ35" s="30" t="n">
        <v>10922</v>
      </c>
      <c r="BR35" s="30" t="n">
        <v>36571</v>
      </c>
      <c r="BS35" s="30" t="n">
        <v>657</v>
      </c>
    </row>
    <row r="36" customFormat="false" ht="15" hidden="false" customHeight="false" outlineLevel="0" collapsed="false">
      <c r="B36" s="31" t="s">
        <v>223</v>
      </c>
      <c r="C36" s="31" t="s">
        <v>224</v>
      </c>
      <c r="D36" s="32" t="n">
        <v>2017</v>
      </c>
      <c r="E36" s="24" t="n">
        <v>43147</v>
      </c>
      <c r="F36" s="33" t="n">
        <v>1</v>
      </c>
      <c r="G36" s="26" t="n">
        <f aca="false">Inputs!$C$13+Inputs!$C$14*M36+Inputs!$C$15*N36+Inputs!$C$16*O36+Inputs!$C$17*P36+Inputs!$C$18*Q36+Inputs!$C$19*R36+Inputs!$C$20*S36+Inputs!$C$21*T36</f>
        <v>-1.8302755477611</v>
      </c>
      <c r="H36" s="26" t="n">
        <f aca="false">EXP(AB36)/(1+EXP(AB36))/Inputs!$C$32</f>
        <v>0.64191850604571</v>
      </c>
      <c r="I36" s="9" t="n">
        <f aca="false">IF(AND(F36=1,G36&gt;Inputs!$C$7),1,0)</f>
        <v>0</v>
      </c>
      <c r="J36" s="9" t="n">
        <f aca="false">IF(AND(F36=1,H36&gt;Inputs!$C$8),1,0)</f>
        <v>0</v>
      </c>
      <c r="K36" s="9" t="n">
        <f aca="false">MAX(I36,J36)</f>
        <v>0</v>
      </c>
      <c r="L36" s="9" t="n">
        <f aca="false">I36*J36</f>
        <v>0</v>
      </c>
      <c r="M36" s="17" t="n">
        <f aca="false">IFERROR((AK36/AD36)/(BD36/AW36),1)</f>
        <v>1.20930168574818</v>
      </c>
      <c r="N36" s="17" t="n">
        <f aca="false">IFERROR(((AW36-AX36)/AW36)/((AD36-AE36)/AD36),1)</f>
        <v>0.978430597255886</v>
      </c>
      <c r="O36" s="17" t="n">
        <f aca="false">IFERROR((1-(AM36+AO36)/AN36)/(1-(BF36+BH36)/BG36),1)</f>
        <v>1.00976138674665</v>
      </c>
      <c r="P36" s="17" t="n">
        <f aca="false">IFERROR(AD36/AW36,1)</f>
        <v>0.990372635632575</v>
      </c>
      <c r="Q36" s="17" t="n">
        <f aca="false">IFERROR((AZ36/(AZ36+BH36))/(AG36/(AG36+AO36)),1)</f>
        <v>1.31160730824282</v>
      </c>
      <c r="R36" s="17" t="n">
        <f aca="false">IFERROR((AF36/AD36)/(AY36/AW36),1)</f>
        <v>0.859025083601378</v>
      </c>
      <c r="S36" s="17" t="n">
        <f aca="false">IFERROR((AH36-AI36)/AN36,0)</f>
        <v>0.0870982766651141</v>
      </c>
      <c r="T36" s="17" t="n">
        <f aca="false">IFERROR(((AS36+N(AU36))/AN36)/((BL36+N(BN36))/BG36),1)</f>
        <v>0.982922959678882</v>
      </c>
      <c r="U36" s="17" t="n">
        <f aca="false">IFERROR((((AM36-AP36-N(AQ36))-(AS36-N(AV36))+(AN36-AM36-N(AR36))-(AT36-AS36-N(AU36))+(N(AQ36)+N(AR36))-(N(AU36)+N(AV36)))-((BF36-BI36-N(BJ36))-(BL36-N(BO36))+(BG36-BF36-N(BK36))-(BM36-BL36-N(BN36))+(N(BJ36)+N(BK36))-(N(BN36)+N(BO36))))/((AN36+BG36)/2),0)</f>
        <v>0.0934560802951245</v>
      </c>
      <c r="V36" s="17" t="n">
        <f aca="false">IFERROR((AK36-BD36)/((AN36+BG36)/2),0)</f>
        <v>0.00126292000398817</v>
      </c>
      <c r="W36" s="17" t="n">
        <f aca="false">IFERROR((N(AL36)-N(BE36))/((AN36+BG36)/2),0)</f>
        <v>0.00108843763501612</v>
      </c>
      <c r="X36" s="17" t="n">
        <f aca="false">IFERROR((AN36-N(AO36)-AP36)/AN36,0)</f>
        <v>0.927232350788476</v>
      </c>
      <c r="Y36" s="17" t="n">
        <f aca="false">IF(COUNT(BP36,BQ36,BR36,BS36)=4,IFERROR((AD36-(AK36-BD36))/(AW36-(BD36-BP36))-1,0),0)</f>
        <v>-0.0191432547293994</v>
      </c>
      <c r="Z36" s="17" t="n">
        <f aca="false">IF(COUNT(BP36,BQ36,BR36,BS36)=4,IFERROR(AH36/((AN36+BG36)/2)-BA36/((BG36+BR36)/2),0),0)</f>
        <v>0.0615498365775701</v>
      </c>
      <c r="AA36" s="9" t="n">
        <f aca="false">IF(N(AJ36)&gt;0,1,0)</f>
        <v>0</v>
      </c>
      <c r="AB36" s="17" t="n">
        <f aca="false">Inputs!$C$24+Inputs!$C$25*U36+Inputs!$C$26*V36+Inputs!$C$27*W36+Inputs!$C$28*X36+Inputs!$C$29*Y36+Inputs!$C$30*Z36+Inputs!$C$31*AA36</f>
        <v>-6.04033845681213</v>
      </c>
      <c r="AD36" s="30" t="n">
        <v>26232</v>
      </c>
      <c r="AE36" s="30" t="n">
        <v>16529</v>
      </c>
      <c r="AF36" s="30" t="n">
        <v>2930</v>
      </c>
      <c r="AG36" s="30" t="n">
        <v>1036</v>
      </c>
      <c r="AH36" s="30" t="n">
        <v>10999</v>
      </c>
      <c r="AI36" s="30" t="n">
        <v>527</v>
      </c>
      <c r="AJ36" s="30" t="s">
        <v>185</v>
      </c>
      <c r="AK36" s="30" t="n">
        <v>921</v>
      </c>
      <c r="AL36" s="30" t="n">
        <v>2815</v>
      </c>
      <c r="AM36" s="30" t="n">
        <v>7266</v>
      </c>
      <c r="AN36" s="30" t="n">
        <v>120232</v>
      </c>
      <c r="AO36" s="30" t="n">
        <v>7120</v>
      </c>
      <c r="AP36" s="30" t="n">
        <v>1629</v>
      </c>
      <c r="AQ36" s="30" t="s">
        <v>185</v>
      </c>
      <c r="AR36" s="30" t="s">
        <v>185</v>
      </c>
      <c r="AS36" s="30" t="n">
        <v>10132</v>
      </c>
      <c r="AT36" s="30" t="n">
        <v>53985</v>
      </c>
      <c r="AU36" s="30" t="n">
        <v>28333</v>
      </c>
      <c r="AV36" s="30" t="n">
        <v>2743</v>
      </c>
      <c r="AW36" s="30" t="n">
        <v>26487</v>
      </c>
      <c r="AX36" s="30" t="n">
        <v>16901</v>
      </c>
      <c r="AY36" s="30" t="n">
        <v>3444</v>
      </c>
      <c r="AZ36" s="30" t="n">
        <v>1337</v>
      </c>
      <c r="BA36" s="30" t="n">
        <v>3632</v>
      </c>
      <c r="BB36" s="30" t="n">
        <v>2649</v>
      </c>
      <c r="BC36" s="30" t="s">
        <v>185</v>
      </c>
      <c r="BD36" s="30" t="n">
        <v>769</v>
      </c>
      <c r="BE36" s="30" t="n">
        <v>2684</v>
      </c>
      <c r="BF36" s="30" t="n">
        <v>8753</v>
      </c>
      <c r="BG36" s="30" t="n">
        <v>120480</v>
      </c>
      <c r="BH36" s="30" t="n">
        <v>6688</v>
      </c>
      <c r="BI36" s="30" t="n">
        <v>4204</v>
      </c>
      <c r="BJ36" s="30" t="s">
        <v>185</v>
      </c>
      <c r="BK36" s="30" t="s">
        <v>185</v>
      </c>
      <c r="BL36" s="30" t="n">
        <v>9501</v>
      </c>
      <c r="BM36" s="30" t="n">
        <v>62906</v>
      </c>
      <c r="BN36" s="30" t="n">
        <v>29713</v>
      </c>
      <c r="BO36" s="30" t="n">
        <v>2046</v>
      </c>
      <c r="BP36" s="30" t="n">
        <v>871</v>
      </c>
      <c r="BQ36" s="30" t="n">
        <v>18338</v>
      </c>
      <c r="BR36" s="30" t="n">
        <v>122973</v>
      </c>
      <c r="BS36" s="30" t="n">
        <v>634</v>
      </c>
    </row>
    <row r="37" customFormat="false" ht="15" hidden="false" customHeight="false" outlineLevel="0" collapsed="false">
      <c r="B37" s="31" t="s">
        <v>225</v>
      </c>
      <c r="C37" s="31" t="s">
        <v>226</v>
      </c>
      <c r="D37" s="32" t="n">
        <v>2016</v>
      </c>
      <c r="E37" s="24" t="n">
        <v>42626</v>
      </c>
      <c r="F37" s="33" t="n">
        <v>1</v>
      </c>
      <c r="G37" s="26" t="n">
        <f aca="false">Inputs!$C$13+Inputs!$C$14*M37+Inputs!$C$15*N37+Inputs!$C$16*O37+Inputs!$C$17*P37+Inputs!$C$18*Q37+Inputs!$C$19*R37+Inputs!$C$20*S37+Inputs!$C$21*T37</f>
        <v>-1.45962874015048</v>
      </c>
      <c r="H37" s="26" t="n">
        <f aca="false">EXP(AB37)/(1+EXP(AB37))/Inputs!$C$32</f>
        <v>0.681295794076501</v>
      </c>
      <c r="I37" s="9" t="n">
        <f aca="false">IF(AND(F37=1,G37&gt;Inputs!$C$7),1,0)</f>
        <v>1</v>
      </c>
      <c r="J37" s="9" t="n">
        <f aca="false">IF(AND(F37=1,H37&gt;Inputs!$C$8),1,0)</f>
        <v>0</v>
      </c>
      <c r="K37" s="9" t="n">
        <f aca="false">MAX(I37,J37)</f>
        <v>1</v>
      </c>
      <c r="L37" s="9" t="n">
        <f aca="false">I37*J37</f>
        <v>0</v>
      </c>
      <c r="M37" s="17" t="n">
        <f aca="false">IFERROR((AK37/AD37)/(BD37/AW37),1)</f>
        <v>0.869268637208382</v>
      </c>
      <c r="N37" s="17" t="n">
        <f aca="false">IFERROR(((AW37-AX37)/AW37)/((AD37-AE37)/AD37),1)</f>
        <v>1</v>
      </c>
      <c r="O37" s="17" t="n">
        <f aca="false">IFERROR((1-(AM37+AO37)/AN37)/(1-(BF37+BH37)/BG37),1)</f>
        <v>3.23878669273419</v>
      </c>
      <c r="P37" s="17" t="n">
        <f aca="false">IFERROR(AD37/AW37,1)</f>
        <v>1.18273539116031</v>
      </c>
      <c r="Q37" s="17" t="n">
        <f aca="false">IFERROR((AZ37/(AZ37+BH37))/(AG37/(AG37+AO37)),1)</f>
        <v>0.785012150881735</v>
      </c>
      <c r="R37" s="17" t="n">
        <f aca="false">IFERROR((AF37/AD37)/(AY37/AW37),1)</f>
        <v>1</v>
      </c>
      <c r="S37" s="17" t="n">
        <f aca="false">IFERROR((AH37-AI37)/AN37,0)</f>
        <v>0.0272412511669643</v>
      </c>
      <c r="T37" s="17" t="n">
        <f aca="false">IFERROR(((AS37+N(AU37))/AN37)/((BL37+N(BN37))/BG37),1)</f>
        <v>1.0904094517536</v>
      </c>
      <c r="U37" s="17" t="n">
        <f aca="false">IFERROR((((AM37-AP37-N(AQ37))-(AS37-N(AV37))+(AN37-AM37-N(AR37))-(AT37-AS37-N(AU37))+(N(AQ37)+N(AR37))-(N(AU37)+N(AV37)))-((BF37-BI37-N(BJ37))-(BL37-N(BO37))+(BG37-BF37-N(BK37))-(BM37-BL37-N(BN37))+(N(BJ37)+N(BK37))-(N(BN37)+N(BO37))))/((AN37+BG37)/2),0)</f>
        <v>0</v>
      </c>
      <c r="V37" s="17" t="n">
        <f aca="false">IFERROR((AK37-BD37)/((AN37+BG37)/2),0)</f>
        <v>0.0032395849105769</v>
      </c>
      <c r="W37" s="17" t="n">
        <f aca="false">IFERROR((N(AL37)-N(BE37))/((AN37+BG37)/2),0)</f>
        <v>0.00116026437829901</v>
      </c>
      <c r="X37" s="17" t="n">
        <f aca="false">IFERROR((AN37-N(AO37)-AP37)/AN37,0)</f>
        <v>0.414650726463577</v>
      </c>
      <c r="Y37" s="17" t="n">
        <f aca="false">IF(COUNT(BP37,BQ37,BR37,BS37)=4,IFERROR((AD37-(AK37-BD37))/(AW37-(BD37-BP37))-1,0),0)</f>
        <v>0.212191379168608</v>
      </c>
      <c r="Z37" s="17" t="n">
        <f aca="false">IF(COUNT(BP37,BQ37,BR37,BS37)=4,IFERROR(AH37/((AN37+BG37)/2)-BA37/((BG37+BR37)/2),0),0)</f>
        <v>-0.018160021317754</v>
      </c>
      <c r="AA37" s="9" t="n">
        <f aca="false">IF(N(AJ37)&gt;0,1,0)</f>
        <v>1</v>
      </c>
      <c r="AB37" s="17" t="n">
        <f aca="false">Inputs!$C$24+Inputs!$C$25*U37+Inputs!$C$26*V37+Inputs!$C$27*W37+Inputs!$C$28*X37+Inputs!$C$29*Y37+Inputs!$C$30*Z37+Inputs!$C$31*AA37</f>
        <v>-5.98065719694321</v>
      </c>
      <c r="AD37" s="30" t="n">
        <v>1065.356</v>
      </c>
      <c r="AE37" s="30" t="s">
        <v>185</v>
      </c>
      <c r="AF37" s="30" t="s">
        <v>185</v>
      </c>
      <c r="AG37" s="30" t="n">
        <v>79.555</v>
      </c>
      <c r="AH37" s="30" t="n">
        <v>24.844</v>
      </c>
      <c r="AI37" s="30" t="n">
        <v>-5.211</v>
      </c>
      <c r="AJ37" s="30" t="n">
        <v>824.801</v>
      </c>
      <c r="AK37" s="30" t="n">
        <v>134.572</v>
      </c>
      <c r="AL37" s="30" t="n">
        <v>3.175</v>
      </c>
      <c r="AM37" s="30" t="n">
        <v>255.608</v>
      </c>
      <c r="AN37" s="30" t="n">
        <v>1103.29</v>
      </c>
      <c r="AO37" s="30" t="n">
        <v>636.733</v>
      </c>
      <c r="AP37" s="30" t="n">
        <v>9.077</v>
      </c>
      <c r="AQ37" s="30" t="s">
        <v>185</v>
      </c>
      <c r="AR37" s="30" t="s">
        <v>185</v>
      </c>
      <c r="AS37" s="30" t="n">
        <v>191.495</v>
      </c>
      <c r="AT37" s="30" t="s">
        <v>185</v>
      </c>
      <c r="AU37" s="30" t="n">
        <v>152.032</v>
      </c>
      <c r="AV37" s="30" t="s">
        <v>185</v>
      </c>
      <c r="AW37" s="30" t="n">
        <v>900.756</v>
      </c>
      <c r="AX37" s="30" t="s">
        <v>185</v>
      </c>
      <c r="AY37" s="30" t="s">
        <v>185</v>
      </c>
      <c r="AZ37" s="30" t="n">
        <v>75.317</v>
      </c>
      <c r="BA37" s="30" t="n">
        <v>37.217</v>
      </c>
      <c r="BB37" s="30" t="n">
        <v>44.565</v>
      </c>
      <c r="BC37" s="30" t="n">
        <v>932.638</v>
      </c>
      <c r="BD37" s="30" t="n">
        <v>130.892</v>
      </c>
      <c r="BE37" s="30" t="n">
        <v>1.857</v>
      </c>
      <c r="BF37" s="30" t="n">
        <v>311.088</v>
      </c>
      <c r="BG37" s="30" t="n">
        <v>1168.606</v>
      </c>
      <c r="BH37" s="30" t="n">
        <v>788.53</v>
      </c>
      <c r="BI37" s="30" t="n">
        <v>24.699</v>
      </c>
      <c r="BJ37" s="30" t="s">
        <v>185</v>
      </c>
      <c r="BK37" s="30" t="s">
        <v>185</v>
      </c>
      <c r="BL37" s="30" t="n">
        <v>200.496</v>
      </c>
      <c r="BM37" s="30" t="s">
        <v>185</v>
      </c>
      <c r="BN37" s="30" t="n">
        <v>133.199</v>
      </c>
      <c r="BO37" s="30" t="s">
        <v>185</v>
      </c>
      <c r="BP37" s="30" t="n">
        <v>105.968</v>
      </c>
      <c r="BQ37" s="30" t="n">
        <v>759.311</v>
      </c>
      <c r="BR37" s="30" t="n">
        <v>690.815</v>
      </c>
      <c r="BS37" s="30" t="n">
        <v>30.681</v>
      </c>
    </row>
    <row r="38" customFormat="false" ht="15" hidden="false" customHeight="false" outlineLevel="0" collapsed="false">
      <c r="B38" s="31" t="s">
        <v>227</v>
      </c>
      <c r="C38" s="31" t="s">
        <v>228</v>
      </c>
      <c r="D38" s="32" t="n">
        <v>2013</v>
      </c>
      <c r="E38" s="24" t="n">
        <v>41723</v>
      </c>
      <c r="F38" s="33" t="n">
        <v>1</v>
      </c>
      <c r="G38" s="26" t="n">
        <f aca="false">Inputs!$C$13+Inputs!$C$14*M38+Inputs!$C$15*N38+Inputs!$C$16*O38+Inputs!$C$17*P38+Inputs!$C$18*Q38+Inputs!$C$19*R38+Inputs!$C$20*S38+Inputs!$C$21*T38</f>
        <v>-0.831943382326018</v>
      </c>
      <c r="H38" s="26" t="n">
        <f aca="false">EXP(AB38)/(1+EXP(AB38))/Inputs!$C$32</f>
        <v>2.74076613409374</v>
      </c>
      <c r="I38" s="9" t="n">
        <f aca="false">IF(AND(F38=1,G38&gt;Inputs!$C$7),1,0)</f>
        <v>1</v>
      </c>
      <c r="J38" s="9" t="n">
        <f aca="false">IF(AND(F38=1,H38&gt;Inputs!$C$8),1,0)</f>
        <v>1</v>
      </c>
      <c r="K38" s="9" t="n">
        <f aca="false">MAX(I38,J38)</f>
        <v>1</v>
      </c>
      <c r="L38" s="9" t="n">
        <f aca="false">I38*J38</f>
        <v>1</v>
      </c>
      <c r="M38" s="17" t="n">
        <f aca="false">IFERROR((AK38/AD38)/(BD38/AW38),1)</f>
        <v>1.07667714621973</v>
      </c>
      <c r="N38" s="17" t="n">
        <f aca="false">IFERROR(((AW38-AX38)/AW38)/((AD38-AE38)/AD38),1)</f>
        <v>1.50181116313087</v>
      </c>
      <c r="O38" s="17" t="n">
        <f aca="false">IFERROR((1-(AM38+AO38)/AN38)/(1-(BF38+BH38)/BG38),1)</f>
        <v>0.141924358650119</v>
      </c>
      <c r="P38" s="17" t="n">
        <f aca="false">IFERROR(AD38/AW38,1)</f>
        <v>2.03683473389356</v>
      </c>
      <c r="Q38" s="17" t="n">
        <f aca="false">IFERROR((AZ38/(AZ38+BH38))/(AG38/(AG38+AO38)),1)</f>
        <v>1.57678215842376</v>
      </c>
      <c r="R38" s="17" t="n">
        <f aca="false">IFERROR((AF38/AD38)/(AY38/AW38),1)</f>
        <v>0.716262383751709</v>
      </c>
      <c r="S38" s="17" t="n">
        <f aca="false">IFERROR((AH38-AI38)/AN38,0)</f>
        <v>0.0800824634503985</v>
      </c>
      <c r="T38" s="17" t="n">
        <f aca="false">IFERROR(((AS38+N(AU38))/AN38)/((BL38+N(BN38))/BG38),1)</f>
        <v>0.252218162711996</v>
      </c>
      <c r="U38" s="17" t="n">
        <f aca="false">IFERROR((((AM38-AP38-N(AQ38))-(AS38-N(AV38))+(AN38-AM38-N(AR38))-(AT38-AS38-N(AU38))+(N(AQ38)+N(AR38))-(N(AU38)+N(AV38)))-((BF38-BI38-N(BJ38))-(BL38-N(BO38))+(BG38-BF38-N(BK38))-(BM38-BL38-N(BN38))+(N(BJ38)+N(BK38))-(N(BN38)+N(BO38))))/((AN38+BG38)/2),0)</f>
        <v>1.20732146857983</v>
      </c>
      <c r="V38" s="17" t="n">
        <f aca="false">IFERROR((AK38-BD38)/((AN38+BG38)/2),0)</f>
        <v>0.0658698383938747</v>
      </c>
      <c r="W38" s="17" t="n">
        <f aca="false">IFERROR((N(AL38)-N(BE38))/((AN38+BG38)/2),0)</f>
        <v>0.132363112111205</v>
      </c>
      <c r="X38" s="17" t="n">
        <f aca="false">IFERROR((AN38-N(AO38)-AP38)/AN38,0)</f>
        <v>0.508195531294008</v>
      </c>
      <c r="Y38" s="17" t="n">
        <f aca="false">IF(COUNT(BP38,BQ38,BR38,BS38)=4,IFERROR((AD38-(AK38-BD38))/(AW38-(BD38-BP38))-1,0),0)</f>
        <v>0</v>
      </c>
      <c r="Z38" s="17" t="n">
        <f aca="false">IF(COUNT(BP38,BQ38,BR38,BS38)=4,IFERROR(AH38/((AN38+BG38)/2)-BA38/((BG38+BR38)/2),0),0)</f>
        <v>0</v>
      </c>
      <c r="AA38" s="9" t="n">
        <f aca="false">IF(N(AJ38)&gt;0,1,0)</f>
        <v>1</v>
      </c>
      <c r="AB38" s="17" t="n">
        <f aca="false">Inputs!$C$24+Inputs!$C$25*U38+Inputs!$C$26*V38+Inputs!$C$27*W38+Inputs!$C$28*X38+Inputs!$C$29*Y38+Inputs!$C$30*Z38+Inputs!$C$31*AA38</f>
        <v>-4.58099236379087</v>
      </c>
      <c r="AD38" s="30" t="n">
        <v>14.543</v>
      </c>
      <c r="AE38" s="30" t="n">
        <v>10.736</v>
      </c>
      <c r="AF38" s="30" t="n">
        <v>15.018</v>
      </c>
      <c r="AG38" s="30" t="n">
        <v>0.976</v>
      </c>
      <c r="AH38" s="30" t="n">
        <v>-28.489</v>
      </c>
      <c r="AI38" s="30" t="n">
        <v>-34.005</v>
      </c>
      <c r="AJ38" s="30" t="n">
        <v>59.805</v>
      </c>
      <c r="AK38" s="30" t="n">
        <v>6.215</v>
      </c>
      <c r="AL38" s="30" t="n">
        <v>11.666</v>
      </c>
      <c r="AM38" s="30" t="n">
        <v>58.653</v>
      </c>
      <c r="AN38" s="30" t="n">
        <v>68.879</v>
      </c>
      <c r="AO38" s="30" t="n">
        <v>9.42</v>
      </c>
      <c r="AP38" s="30" t="n">
        <v>24.455</v>
      </c>
      <c r="AQ38" s="30" t="n">
        <v>13.677</v>
      </c>
      <c r="AR38" s="30" t="s">
        <v>185</v>
      </c>
      <c r="AS38" s="30" t="n">
        <v>11.738</v>
      </c>
      <c r="AT38" s="30" t="n">
        <v>27.095</v>
      </c>
      <c r="AU38" s="30" t="n">
        <v>12.28</v>
      </c>
      <c r="AV38" s="30" t="n">
        <v>0.157</v>
      </c>
      <c r="AW38" s="30" t="n">
        <v>7.14</v>
      </c>
      <c r="AX38" s="30" t="n">
        <v>4.333</v>
      </c>
      <c r="AY38" s="30" t="n">
        <v>10.294</v>
      </c>
      <c r="AZ38" s="30" t="n">
        <v>0.613</v>
      </c>
      <c r="BA38" s="30" t="n">
        <v>-38.794</v>
      </c>
      <c r="BB38" s="30" t="n">
        <v>-22.425</v>
      </c>
      <c r="BC38" s="30" t="n">
        <v>17.375</v>
      </c>
      <c r="BD38" s="30" t="n">
        <v>2.834</v>
      </c>
      <c r="BE38" s="30" t="n">
        <v>4.872</v>
      </c>
      <c r="BF38" s="30" t="n">
        <v>27.465</v>
      </c>
      <c r="BG38" s="30" t="n">
        <v>33.778</v>
      </c>
      <c r="BH38" s="30" t="n">
        <v>3.528</v>
      </c>
      <c r="BI38" s="30" t="n">
        <v>10.006</v>
      </c>
      <c r="BJ38" s="30" t="s">
        <v>185</v>
      </c>
      <c r="BK38" s="30" t="s">
        <v>185</v>
      </c>
      <c r="BL38" s="30" t="n">
        <v>38.933</v>
      </c>
      <c r="BM38" s="30" t="n">
        <v>68.413</v>
      </c>
      <c r="BN38" s="30" t="n">
        <v>7.766</v>
      </c>
      <c r="BO38" s="30" t="n">
        <v>8.572</v>
      </c>
      <c r="BP38" s="30" t="s">
        <v>185</v>
      </c>
      <c r="BQ38" s="30" t="n">
        <v>5.251</v>
      </c>
      <c r="BR38" s="30" t="s">
        <v>185</v>
      </c>
      <c r="BS38" s="30" t="n">
        <v>-13.18</v>
      </c>
    </row>
    <row r="41" customFormat="false" ht="15" hidden="false" customHeight="false" outlineLevel="0" collapsed="false">
      <c r="B41" s="5" t="s">
        <v>229</v>
      </c>
    </row>
    <row r="42" customFormat="false" ht="15" hidden="false" customHeight="false" outlineLevel="0" collapsed="false">
      <c r="B42" s="34" t="s">
        <v>230</v>
      </c>
      <c r="C42" s="35" t="s">
        <v>231</v>
      </c>
      <c r="D42" s="35" t="s">
        <v>232</v>
      </c>
      <c r="E42" s="35" t="s">
        <v>233</v>
      </c>
      <c r="F42" s="35" t="s">
        <v>234</v>
      </c>
      <c r="G42" s="35" t="s">
        <v>235</v>
      </c>
      <c r="H42" s="35" t="s">
        <v>236</v>
      </c>
      <c r="I42" s="35" t="s">
        <v>237</v>
      </c>
    </row>
    <row r="43" customFormat="false" ht="15" hidden="false" customHeight="false" outlineLevel="0" collapsed="false">
      <c r="B43" s="6" t="s">
        <v>238</v>
      </c>
      <c r="C43" s="9" t="n">
        <f aca="false">SUM(I6:I38)</f>
        <v>10</v>
      </c>
      <c r="D43" s="9" t="n">
        <f aca="false">SUM(F6:F38)</f>
        <v>29</v>
      </c>
      <c r="E43" s="27" t="n">
        <f aca="false">C43/D43</f>
        <v>0.344827586206897</v>
      </c>
      <c r="F43" s="9" t="n">
        <f aca="false">SUM(C51:C64)</f>
        <v>8</v>
      </c>
      <c r="G43" s="9" t="n">
        <f aca="false">COUNTA(B51:B64)</f>
        <v>14</v>
      </c>
      <c r="H43" s="27" t="n">
        <f aca="false">COUNTIF(Universe!C6:C1240,"&gt;"&amp;Inputs!C7)/COUNT(Universe!C6:C1240)</f>
        <v>0.0898785425101215</v>
      </c>
      <c r="I43" s="36" t="n">
        <f aca="false">E43/H43</f>
        <v>3.83659521590556</v>
      </c>
    </row>
    <row r="44" customFormat="false" ht="15" hidden="false" customHeight="false" outlineLevel="0" collapsed="false">
      <c r="B44" s="6" t="s">
        <v>239</v>
      </c>
      <c r="C44" s="9" t="n">
        <f aca="false">SUM(J6:J38)</f>
        <v>6</v>
      </c>
      <c r="D44" s="9" t="n">
        <f aca="false">SUM(F6:F38)</f>
        <v>29</v>
      </c>
      <c r="E44" s="27" t="n">
        <f aca="false">C44/D44</f>
        <v>0.206896551724138</v>
      </c>
      <c r="F44" s="9" t="n">
        <f aca="false">SUM(D51:D64)</f>
        <v>4</v>
      </c>
      <c r="G44" s="9" t="n">
        <f aca="false">COUNTA(B51:B64)</f>
        <v>14</v>
      </c>
      <c r="H44" s="27" t="n">
        <f aca="false">COUNTIF(Universe!D6:D1240,"&gt;"&amp;Inputs!C8)/COUNT(Universe!C6:C1240)</f>
        <v>0.042914979757085</v>
      </c>
      <c r="I44" s="36" t="n">
        <f aca="false">E44/H44</f>
        <v>4.82108002602472</v>
      </c>
    </row>
    <row r="45" customFormat="false" ht="15" hidden="false" customHeight="false" outlineLevel="0" collapsed="false">
      <c r="B45" s="6" t="s">
        <v>240</v>
      </c>
      <c r="C45" s="9" t="n">
        <f aca="false">SUM(K6:K38)</f>
        <v>12</v>
      </c>
      <c r="D45" s="9" t="n">
        <f aca="false">SUM(F6:F38)</f>
        <v>29</v>
      </c>
      <c r="E45" s="27" t="n">
        <f aca="false">C45/D45</f>
        <v>0.413793103448276</v>
      </c>
      <c r="F45" s="9" t="n">
        <f aca="false">SUM(E51:E64)</f>
        <v>9</v>
      </c>
      <c r="G45" s="9" t="n">
        <f aca="false">COUNTA(B51:B64)</f>
        <v>14</v>
      </c>
      <c r="H45" s="27" t="n">
        <f aca="false">(COUNT(Universe!C6:C1240)-COUNTIFS(Universe!C6:C1240,"&lt;="&amp;Inputs!C7,Universe!D6:D1240,"&lt;="&amp;Inputs!C8))/COUNT(Universe!C6:C1240)</f>
        <v>0.115789473684211</v>
      </c>
      <c r="I45" s="36" t="n">
        <f aca="false">E45/H45</f>
        <v>3.57366771159875</v>
      </c>
    </row>
    <row r="46" customFormat="false" ht="15" hidden="false" customHeight="false" outlineLevel="0" collapsed="false">
      <c r="B46" s="6" t="s">
        <v>241</v>
      </c>
      <c r="C46" s="9" t="n">
        <f aca="false">SUM(L6:L38)</f>
        <v>4</v>
      </c>
      <c r="D46" s="9" t="n">
        <f aca="false">SUM(F6:F38)</f>
        <v>29</v>
      </c>
      <c r="E46" s="27" t="n">
        <f aca="false">C46/D46</f>
        <v>0.137931034482759</v>
      </c>
      <c r="F46" s="9" t="n">
        <f aca="false">SUM(F51:F64)</f>
        <v>3</v>
      </c>
      <c r="G46" s="9" t="n">
        <f aca="false">COUNTA(B51:B64)</f>
        <v>14</v>
      </c>
      <c r="H46" s="27" t="n">
        <f aca="false">COUNTIFS(Universe!C6:C1240,"&gt;"&amp;Inputs!C7,Universe!D6:D1240,"&gt;"&amp;Inputs!C8)/COUNT(Universe!C6:C1240)</f>
        <v>0.017004048582996</v>
      </c>
      <c r="I46" s="36" t="n">
        <f aca="false">E46/H46</f>
        <v>8.11165845648604</v>
      </c>
    </row>
    <row r="49" customFormat="false" ht="15" hidden="false" customHeight="false" outlineLevel="0" collapsed="false">
      <c r="B49" s="5" t="s">
        <v>242</v>
      </c>
    </row>
    <row r="50" customFormat="false" ht="15" hidden="false" customHeight="false" outlineLevel="0" collapsed="false">
      <c r="B50" s="34" t="s">
        <v>192</v>
      </c>
      <c r="C50" s="35" t="s">
        <v>131</v>
      </c>
      <c r="D50" s="35" t="s">
        <v>132</v>
      </c>
      <c r="E50" s="35" t="s">
        <v>195</v>
      </c>
      <c r="F50" s="35" t="s">
        <v>196</v>
      </c>
    </row>
    <row r="51" customFormat="false" ht="15" hidden="false" customHeight="false" outlineLevel="0" collapsed="false">
      <c r="B51" s="31" t="s">
        <v>198</v>
      </c>
      <c r="C51" s="9" t="n">
        <f aca="false">IF(COUNTIFS($C$6:$C$38,$B51,I$6:I$38,1)&gt;0,1,0)</f>
        <v>1</v>
      </c>
      <c r="D51" s="9" t="n">
        <f aca="false">IF(COUNTIFS($C$6:$C$38,$B51,J$6:J$38,1)&gt;0,1,0)</f>
        <v>1</v>
      </c>
      <c r="E51" s="9" t="n">
        <f aca="false">IF(COUNTIFS($C$6:$C$38,$B51,K$6:K$38,1)&gt;0,1,0)</f>
        <v>1</v>
      </c>
      <c r="F51" s="9" t="n">
        <f aca="false">IF(COUNTIFS($C$6:$C$38,$B51,L$6:L$38,1)&gt;0,1,0)</f>
        <v>1</v>
      </c>
    </row>
    <row r="52" customFormat="false" ht="15" hidden="false" customHeight="false" outlineLevel="0" collapsed="false">
      <c r="B52" s="31" t="s">
        <v>200</v>
      </c>
      <c r="C52" s="9" t="n">
        <f aca="false">IF(COUNTIFS($C$6:$C$38,$B52,I$6:I$38,1)&gt;0,1,0)</f>
        <v>1</v>
      </c>
      <c r="D52" s="9" t="n">
        <f aca="false">IF(COUNTIFS($C$6:$C$38,$B52,J$6:J$38,1)&gt;0,1,0)</f>
        <v>0</v>
      </c>
      <c r="E52" s="9" t="n">
        <f aca="false">IF(COUNTIFS($C$6:$C$38,$B52,K$6:K$38,1)&gt;0,1,0)</f>
        <v>1</v>
      </c>
      <c r="F52" s="9" t="n">
        <f aca="false">IF(COUNTIFS($C$6:$C$38,$B52,L$6:L$38,1)&gt;0,1,0)</f>
        <v>0</v>
      </c>
    </row>
    <row r="53" customFormat="false" ht="15" hidden="false" customHeight="false" outlineLevel="0" collapsed="false">
      <c r="B53" s="31" t="s">
        <v>202</v>
      </c>
      <c r="C53" s="9" t="n">
        <f aca="false">IF(COUNTIFS($C$6:$C$38,$B53,I$6:I$38,1)&gt;0,1,0)</f>
        <v>0</v>
      </c>
      <c r="D53" s="9" t="n">
        <f aca="false">IF(COUNTIFS($C$6:$C$38,$B53,J$6:J$38,1)&gt;0,1,0)</f>
        <v>0</v>
      </c>
      <c r="E53" s="9" t="n">
        <f aca="false">IF(COUNTIFS($C$6:$C$38,$B53,K$6:K$38,1)&gt;0,1,0)</f>
        <v>0</v>
      </c>
      <c r="F53" s="9" t="n">
        <f aca="false">IF(COUNTIFS($C$6:$C$38,$B53,L$6:L$38,1)&gt;0,1,0)</f>
        <v>0</v>
      </c>
    </row>
    <row r="54" customFormat="false" ht="15" hidden="false" customHeight="false" outlineLevel="0" collapsed="false">
      <c r="B54" s="31" t="s">
        <v>204</v>
      </c>
      <c r="C54" s="9" t="n">
        <f aca="false">IF(COUNTIFS($C$6:$C$38,$B54,I$6:I$38,1)&gt;0,1,0)</f>
        <v>0</v>
      </c>
      <c r="D54" s="9" t="n">
        <f aca="false">IF(COUNTIFS($C$6:$C$38,$B54,J$6:J$38,1)&gt;0,1,0)</f>
        <v>0</v>
      </c>
      <c r="E54" s="9" t="n">
        <f aca="false">IF(COUNTIFS($C$6:$C$38,$B54,K$6:K$38,1)&gt;0,1,0)</f>
        <v>0</v>
      </c>
      <c r="F54" s="9" t="n">
        <f aca="false">IF(COUNTIFS($C$6:$C$38,$B54,L$6:L$38,1)&gt;0,1,0)</f>
        <v>0</v>
      </c>
    </row>
    <row r="55" customFormat="false" ht="15" hidden="false" customHeight="false" outlineLevel="0" collapsed="false">
      <c r="B55" s="31" t="s">
        <v>206</v>
      </c>
      <c r="C55" s="9" t="n">
        <f aca="false">IF(COUNTIFS($C$6:$C$38,$B55,I$6:I$38,1)&gt;0,1,0)</f>
        <v>1</v>
      </c>
      <c r="D55" s="9" t="n">
        <f aca="false">IF(COUNTIFS($C$6:$C$38,$B55,J$6:J$38,1)&gt;0,1,0)</f>
        <v>0</v>
      </c>
      <c r="E55" s="9" t="n">
        <f aca="false">IF(COUNTIFS($C$6:$C$38,$B55,K$6:K$38,1)&gt;0,1,0)</f>
        <v>1</v>
      </c>
      <c r="F55" s="9" t="n">
        <f aca="false">IF(COUNTIFS($C$6:$C$38,$B55,L$6:L$38,1)&gt;0,1,0)</f>
        <v>0</v>
      </c>
    </row>
    <row r="56" customFormat="false" ht="15" hidden="false" customHeight="false" outlineLevel="0" collapsed="false">
      <c r="B56" s="31" t="s">
        <v>208</v>
      </c>
      <c r="C56" s="9" t="n">
        <f aca="false">IF(COUNTIFS($C$6:$C$38,$B56,I$6:I$38,1)&gt;0,1,0)</f>
        <v>1</v>
      </c>
      <c r="D56" s="9" t="n">
        <f aca="false">IF(COUNTIFS($C$6:$C$38,$B56,J$6:J$38,1)&gt;0,1,0)</f>
        <v>0</v>
      </c>
      <c r="E56" s="9" t="n">
        <f aca="false">IF(COUNTIFS($C$6:$C$38,$B56,K$6:K$38,1)&gt;0,1,0)</f>
        <v>1</v>
      </c>
      <c r="F56" s="9" t="n">
        <f aca="false">IF(COUNTIFS($C$6:$C$38,$B56,L$6:L$38,1)&gt;0,1,0)</f>
        <v>0</v>
      </c>
    </row>
    <row r="57" customFormat="false" ht="15" hidden="false" customHeight="false" outlineLevel="0" collapsed="false">
      <c r="B57" s="31" t="s">
        <v>210</v>
      </c>
      <c r="C57" s="9" t="n">
        <f aca="false">IF(COUNTIFS($C$6:$C$38,$B57,I$6:I$38,1)&gt;0,1,0)</f>
        <v>1</v>
      </c>
      <c r="D57" s="9" t="n">
        <f aca="false">IF(COUNTIFS($C$6:$C$38,$B57,J$6:J$38,1)&gt;0,1,0)</f>
        <v>0</v>
      </c>
      <c r="E57" s="9" t="n">
        <f aca="false">IF(COUNTIFS($C$6:$C$38,$B57,K$6:K$38,1)&gt;0,1,0)</f>
        <v>1</v>
      </c>
      <c r="F57" s="9" t="n">
        <f aca="false">IF(COUNTIFS($C$6:$C$38,$B57,L$6:L$38,1)&gt;0,1,0)</f>
        <v>0</v>
      </c>
    </row>
    <row r="58" customFormat="false" ht="15" hidden="false" customHeight="false" outlineLevel="0" collapsed="false">
      <c r="B58" s="31" t="s">
        <v>212</v>
      </c>
      <c r="C58" s="9" t="n">
        <f aca="false">IF(COUNTIFS($C$6:$C$38,$B58,I$6:I$38,1)&gt;0,1,0)</f>
        <v>1</v>
      </c>
      <c r="D58" s="9" t="n">
        <f aca="false">IF(COUNTIFS($C$6:$C$38,$B58,J$6:J$38,1)&gt;0,1,0)</f>
        <v>1</v>
      </c>
      <c r="E58" s="9" t="n">
        <f aca="false">IF(COUNTIFS($C$6:$C$38,$B58,K$6:K$38,1)&gt;0,1,0)</f>
        <v>1</v>
      </c>
      <c r="F58" s="9" t="n">
        <f aca="false">IF(COUNTIFS($C$6:$C$38,$B58,L$6:L$38,1)&gt;0,1,0)</f>
        <v>1</v>
      </c>
    </row>
    <row r="59" customFormat="false" ht="15" hidden="false" customHeight="false" outlineLevel="0" collapsed="false">
      <c r="B59" s="31" t="s">
        <v>214</v>
      </c>
      <c r="C59" s="9" t="n">
        <f aca="false">IF(COUNTIFS($C$6:$C$38,$B59,I$6:I$38,1)&gt;0,1,0)</f>
        <v>0</v>
      </c>
      <c r="D59" s="9" t="n">
        <f aca="false">IF(COUNTIFS($C$6:$C$38,$B59,J$6:J$38,1)&gt;0,1,0)</f>
        <v>0</v>
      </c>
      <c r="E59" s="9" t="n">
        <f aca="false">IF(COUNTIFS($C$6:$C$38,$B59,K$6:K$38,1)&gt;0,1,0)</f>
        <v>0</v>
      </c>
      <c r="F59" s="9" t="n">
        <f aca="false">IF(COUNTIFS($C$6:$C$38,$B59,L$6:L$38,1)&gt;0,1,0)</f>
        <v>0</v>
      </c>
    </row>
    <row r="60" customFormat="false" ht="15" hidden="false" customHeight="false" outlineLevel="0" collapsed="false">
      <c r="B60" s="31" t="s">
        <v>216</v>
      </c>
      <c r="C60" s="9" t="n">
        <f aca="false">IF(COUNTIFS($C$6:$C$38,$B60,I$6:I$38,1)&gt;0,1,0)</f>
        <v>0</v>
      </c>
      <c r="D60" s="9" t="n">
        <f aca="false">IF(COUNTIFS($C$6:$C$38,$B60,J$6:J$38,1)&gt;0,1,0)</f>
        <v>0</v>
      </c>
      <c r="E60" s="9" t="n">
        <f aca="false">IF(COUNTIFS($C$6:$C$38,$B60,K$6:K$38,1)&gt;0,1,0)</f>
        <v>0</v>
      </c>
      <c r="F60" s="9" t="n">
        <f aca="false">IF(COUNTIFS($C$6:$C$38,$B60,L$6:L$38,1)&gt;0,1,0)</f>
        <v>0</v>
      </c>
    </row>
    <row r="61" customFormat="false" ht="15" hidden="false" customHeight="false" outlineLevel="0" collapsed="false">
      <c r="B61" s="31" t="s">
        <v>222</v>
      </c>
      <c r="C61" s="9" t="n">
        <f aca="false">IF(COUNTIFS($C$6:$C$38,$B61,I$6:I$38,1)&gt;0,1,0)</f>
        <v>0</v>
      </c>
      <c r="D61" s="9" t="n">
        <f aca="false">IF(COUNTIFS($C$6:$C$38,$B61,J$6:J$38,1)&gt;0,1,0)</f>
        <v>1</v>
      </c>
      <c r="E61" s="9" t="n">
        <f aca="false">IF(COUNTIFS($C$6:$C$38,$B61,K$6:K$38,1)&gt;0,1,0)</f>
        <v>1</v>
      </c>
      <c r="F61" s="9" t="n">
        <f aca="false">IF(COUNTIFS($C$6:$C$38,$B61,L$6:L$38,1)&gt;0,1,0)</f>
        <v>0</v>
      </c>
    </row>
    <row r="62" customFormat="false" ht="15" hidden="false" customHeight="false" outlineLevel="0" collapsed="false">
      <c r="B62" s="31" t="s">
        <v>224</v>
      </c>
      <c r="C62" s="9" t="n">
        <f aca="false">IF(COUNTIFS($C$6:$C$38,$B62,I$6:I$38,1)&gt;0,1,0)</f>
        <v>0</v>
      </c>
      <c r="D62" s="9" t="n">
        <f aca="false">IF(COUNTIFS($C$6:$C$38,$B62,J$6:J$38,1)&gt;0,1,0)</f>
        <v>0</v>
      </c>
      <c r="E62" s="9" t="n">
        <f aca="false">IF(COUNTIFS($C$6:$C$38,$B62,K$6:K$38,1)&gt;0,1,0)</f>
        <v>0</v>
      </c>
      <c r="F62" s="9" t="n">
        <f aca="false">IF(COUNTIFS($C$6:$C$38,$B62,L$6:L$38,1)&gt;0,1,0)</f>
        <v>0</v>
      </c>
    </row>
    <row r="63" customFormat="false" ht="15" hidden="false" customHeight="false" outlineLevel="0" collapsed="false">
      <c r="B63" s="31" t="s">
        <v>226</v>
      </c>
      <c r="C63" s="9" t="n">
        <f aca="false">IF(COUNTIFS($C$6:$C$38,$B63,I$6:I$38,1)&gt;0,1,0)</f>
        <v>1</v>
      </c>
      <c r="D63" s="9" t="n">
        <f aca="false">IF(COUNTIFS($C$6:$C$38,$B63,J$6:J$38,1)&gt;0,1,0)</f>
        <v>0</v>
      </c>
      <c r="E63" s="9" t="n">
        <f aca="false">IF(COUNTIFS($C$6:$C$38,$B63,K$6:K$38,1)&gt;0,1,0)</f>
        <v>1</v>
      </c>
      <c r="F63" s="9" t="n">
        <f aca="false">IF(COUNTIFS($C$6:$C$38,$B63,L$6:L$38,1)&gt;0,1,0)</f>
        <v>0</v>
      </c>
    </row>
    <row r="64" customFormat="false" ht="15" hidden="false" customHeight="false" outlineLevel="0" collapsed="false">
      <c r="B64" s="31" t="s">
        <v>228</v>
      </c>
      <c r="C64" s="9" t="n">
        <f aca="false">IF(COUNTIFS($C$6:$C$38,$B64,I$6:I$38,1)&gt;0,1,0)</f>
        <v>1</v>
      </c>
      <c r="D64" s="9" t="n">
        <f aca="false">IF(COUNTIFS($C$6:$C$38,$B64,J$6:J$38,1)&gt;0,1,0)</f>
        <v>1</v>
      </c>
      <c r="E64" s="9" t="n">
        <f aca="false">IF(COUNTIFS($C$6:$C$38,$B64,K$6:K$38,1)&gt;0,1,0)</f>
        <v>1</v>
      </c>
      <c r="F64" s="9" t="n">
        <f aca="false">IF(COUNTIFS($C$6:$C$38,$B64,L$6:L$38,1)&gt;0,1,0)</f>
        <v>1</v>
      </c>
    </row>
    <row r="66" customFormat="false" ht="15" hidden="false" customHeight="false" outlineLevel="0" collapsed="false">
      <c r="B66" s="2" t="s">
        <v>243</v>
      </c>
    </row>
  </sheetData>
  <conditionalFormatting sqref="I6:L38">
    <cfRule type="cellIs" priority="2" operator="equal" aboveAverage="0" equalAverage="0" bottom="0" percent="0" rank="0" text="" dxfId="0">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2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4"/>
    <col collapsed="false" customWidth="true" hidden="false" outlineLevel="0" max="4" min="3" style="0" width="12"/>
    <col collapsed="false" customWidth="true" hidden="false" outlineLevel="0" max="5" min="5" style="0" width="4"/>
    <col collapsed="false" customWidth="true" hidden="false" outlineLevel="0" max="6" min="6" style="0" width="44"/>
    <col collapsed="false" customWidth="true" hidden="false" outlineLevel="0" max="7" min="7" style="0" width="13"/>
  </cols>
  <sheetData>
    <row r="2" customFormat="false" ht="17.35" hidden="false" customHeight="false" outlineLevel="0" collapsed="false">
      <c r="B2" s="1" t="s">
        <v>244</v>
      </c>
    </row>
    <row r="3" customFormat="false" ht="15" hidden="false" customHeight="false" outlineLevel="0" collapsed="false">
      <c r="B3" s="2" t="s">
        <v>245</v>
      </c>
    </row>
    <row r="5" customFormat="false" ht="15" hidden="false" customHeight="false" outlineLevel="0" collapsed="false">
      <c r="B5" s="11" t="s">
        <v>246</v>
      </c>
      <c r="C5" s="12" t="s">
        <v>103</v>
      </c>
      <c r="D5" s="12" t="s">
        <v>126</v>
      </c>
      <c r="F5" s="11" t="s">
        <v>247</v>
      </c>
      <c r="G5" s="12" t="s">
        <v>38</v>
      </c>
    </row>
    <row r="6" customFormat="false" ht="15" hidden="false" customHeight="false" outlineLevel="0" collapsed="false">
      <c r="B6" s="32" t="n">
        <v>2098</v>
      </c>
      <c r="C6" s="13" t="n">
        <v>-2.96054973742529</v>
      </c>
      <c r="D6" s="13" t="n">
        <v>1.13797186112694</v>
      </c>
      <c r="F6" s="6" t="s">
        <v>235</v>
      </c>
      <c r="G6" s="9" t="n">
        <f aca="false">COUNT(C6:C1240)</f>
        <v>1235</v>
      </c>
    </row>
    <row r="7" customFormat="false" ht="15" hidden="false" customHeight="false" outlineLevel="0" collapsed="false">
      <c r="B7" s="32" t="n">
        <v>3197</v>
      </c>
      <c r="C7" s="13" t="n">
        <v>-2.46244375671573</v>
      </c>
      <c r="D7" s="13" t="n">
        <v>1.93633076392758</v>
      </c>
      <c r="F7" s="6" t="s">
        <v>248</v>
      </c>
      <c r="G7" s="37" t="n">
        <f aca="false">MEDIAN(C6:C1240)</f>
        <v>-2.7175022990473</v>
      </c>
    </row>
    <row r="8" customFormat="false" ht="15" hidden="false" customHeight="false" outlineLevel="0" collapsed="false">
      <c r="B8" s="32" t="n">
        <v>4281</v>
      </c>
      <c r="C8" s="13" t="n">
        <v>-2.24131455768395</v>
      </c>
      <c r="D8" s="13" t="n">
        <v>1.29869277619837</v>
      </c>
      <c r="F8" s="6" t="s">
        <v>249</v>
      </c>
      <c r="G8" s="37" t="n">
        <f aca="false">MEDIAN(D6:D1240)</f>
        <v>0.523441056924924</v>
      </c>
    </row>
    <row r="9" customFormat="false" ht="15" hidden="false" customHeight="false" outlineLevel="0" collapsed="false">
      <c r="B9" s="32" t="n">
        <v>6176</v>
      </c>
      <c r="C9" s="13" t="n">
        <v>-2.55752138781207</v>
      </c>
      <c r="D9" s="13" t="n">
        <v>0.435699323953283</v>
      </c>
      <c r="F9" s="6" t="s">
        <v>250</v>
      </c>
      <c r="G9" s="27" t="n">
        <f aca="false">COUNTIF(C6:C1240,"&gt;"&amp;Inputs!C7)/G6</f>
        <v>0.0898785425101215</v>
      </c>
    </row>
    <row r="10" customFormat="false" ht="15" hidden="false" customHeight="false" outlineLevel="0" collapsed="false">
      <c r="B10" s="32" t="n">
        <v>6951</v>
      </c>
      <c r="C10" s="13" t="n">
        <v>-2.84469935392105</v>
      </c>
      <c r="D10" s="13" t="n">
        <v>1.07996278632091</v>
      </c>
      <c r="F10" s="6" t="s">
        <v>251</v>
      </c>
      <c r="G10" s="27" t="n">
        <f aca="false">COUNTIF(D6:D1240,"&gt;"&amp;Inputs!C8)/G6</f>
        <v>0.042914979757085</v>
      </c>
    </row>
    <row r="11" customFormat="false" ht="15" hidden="false" customHeight="false" outlineLevel="0" collapsed="false">
      <c r="B11" s="32" t="n">
        <v>6955</v>
      </c>
      <c r="C11" s="13" t="n">
        <v>-2.72495832864965</v>
      </c>
      <c r="D11" s="13" t="n">
        <v>1.14845347080733</v>
      </c>
      <c r="F11" s="6" t="s">
        <v>252</v>
      </c>
      <c r="G11" s="27" t="n">
        <f aca="false">COUNTIFS(C6:C1240,"&gt;"&amp;Inputs!C7,D6:D1240,"&gt;"&amp;Inputs!C8)/G6</f>
        <v>0.017004048582996</v>
      </c>
    </row>
    <row r="12" customFormat="false" ht="15" hidden="false" customHeight="false" outlineLevel="0" collapsed="false">
      <c r="B12" s="32" t="n">
        <v>8063</v>
      </c>
      <c r="C12" s="13" t="n">
        <v>-2.56861413831754</v>
      </c>
      <c r="D12" s="13" t="n">
        <v>1.82003272545829</v>
      </c>
      <c r="F12" s="6" t="s">
        <v>253</v>
      </c>
      <c r="G12" s="22" t="n">
        <f aca="false">INDEX(Timeline!E:E,46)</f>
        <v>0.290982568034524</v>
      </c>
    </row>
    <row r="13" customFormat="false" ht="15" hidden="false" customHeight="false" outlineLevel="0" collapsed="false">
      <c r="B13" s="32" t="n">
        <v>8146</v>
      </c>
      <c r="C13" s="13" t="n">
        <v>-2.64662690411538</v>
      </c>
      <c r="D13" s="13" t="n">
        <v>0.558807966855656</v>
      </c>
      <c r="F13" s="6" t="s">
        <v>254</v>
      </c>
      <c r="G13" s="22" t="n">
        <f aca="false">INDEX(Timeline!F:F,46)</f>
        <v>4.01310072355212</v>
      </c>
    </row>
    <row r="14" customFormat="false" ht="15" hidden="false" customHeight="false" outlineLevel="0" collapsed="false">
      <c r="B14" s="32" t="n">
        <v>8670</v>
      </c>
      <c r="C14" s="13" t="n">
        <v>-2.51447163782527</v>
      </c>
      <c r="D14" s="13" t="n">
        <v>0.695322843260596</v>
      </c>
      <c r="F14" s="6" t="s">
        <v>255</v>
      </c>
      <c r="G14" s="27" t="n">
        <f aca="false">COUNTIF(C6:C1240,"&lt;"&amp;G12)/G6</f>
        <v>0.975708502024292</v>
      </c>
    </row>
    <row r="15" customFormat="false" ht="15" hidden="false" customHeight="false" outlineLevel="0" collapsed="false">
      <c r="B15" s="32" t="n">
        <v>8858</v>
      </c>
      <c r="C15" s="13" t="n">
        <v>-1.91256822421292</v>
      </c>
      <c r="D15" s="13" t="n">
        <v>0.721570118348254</v>
      </c>
      <c r="F15" s="6" t="s">
        <v>256</v>
      </c>
      <c r="G15" s="27" t="n">
        <f aca="false">COUNTIF(D6:D1240,"&lt;"&amp;G13)/G6</f>
        <v>0.995951417004049</v>
      </c>
    </row>
    <row r="16" customFormat="false" ht="15" hidden="false" customHeight="false" outlineLevel="0" collapsed="false">
      <c r="B16" s="32" t="n">
        <v>9326</v>
      </c>
      <c r="C16" s="13" t="n">
        <v>-2.81924570484286</v>
      </c>
      <c r="D16" s="13" t="n">
        <v>0.501067947047021</v>
      </c>
    </row>
    <row r="17" customFormat="false" ht="15" hidden="false" customHeight="false" outlineLevel="0" collapsed="false">
      <c r="B17" s="32" t="n">
        <v>10456</v>
      </c>
      <c r="C17" s="13" t="n">
        <v>-2.81877874177662</v>
      </c>
      <c r="D17" s="13" t="n">
        <v>0.386178328459272</v>
      </c>
    </row>
    <row r="18" customFormat="false" ht="15" hidden="false" customHeight="false" outlineLevel="0" collapsed="false">
      <c r="B18" s="32" t="n">
        <v>12208</v>
      </c>
      <c r="C18" s="13" t="n">
        <v>-2.89346730603376</v>
      </c>
      <c r="D18" s="13" t="n">
        <v>0.503070310866339</v>
      </c>
    </row>
    <row r="19" customFormat="false" ht="15" hidden="false" customHeight="false" outlineLevel="0" collapsed="false">
      <c r="B19" s="32" t="n">
        <v>12659</v>
      </c>
      <c r="C19" s="13" t="n">
        <v>-2.74168048299173</v>
      </c>
      <c r="D19" s="13" t="n">
        <v>0.530876669187626</v>
      </c>
    </row>
    <row r="20" customFormat="false" ht="15" hidden="false" customHeight="false" outlineLevel="0" collapsed="false">
      <c r="B20" s="32" t="n">
        <v>12927</v>
      </c>
      <c r="C20" s="13" t="n">
        <v>-2.95931197689029</v>
      </c>
      <c r="D20" s="13" t="n">
        <v>0.528069347202109</v>
      </c>
    </row>
    <row r="21" customFormat="false" ht="15" hidden="false" customHeight="false" outlineLevel="0" collapsed="false">
      <c r="B21" s="32" t="n">
        <v>14177</v>
      </c>
      <c r="C21" s="13" t="n">
        <v>-2.56303346790042</v>
      </c>
      <c r="D21" s="13" t="n">
        <v>0.34716527675735</v>
      </c>
    </row>
    <row r="22" customFormat="false" ht="15" hidden="false" customHeight="false" outlineLevel="0" collapsed="false">
      <c r="B22" s="32" t="n">
        <v>14272</v>
      </c>
      <c r="C22" s="13" t="n">
        <v>-2.71953385751081</v>
      </c>
      <c r="D22" s="13" t="n">
        <v>1.34475380826163</v>
      </c>
    </row>
    <row r="23" customFormat="false" ht="15" hidden="false" customHeight="false" outlineLevel="0" collapsed="false">
      <c r="B23" s="32" t="n">
        <v>14693</v>
      </c>
      <c r="C23" s="13" t="n">
        <v>-2.41706473120271</v>
      </c>
      <c r="D23" s="13" t="n">
        <v>0.51121381602711</v>
      </c>
    </row>
    <row r="24" customFormat="false" ht="15" hidden="false" customHeight="false" outlineLevel="0" collapsed="false">
      <c r="B24" s="32" t="n">
        <v>16058</v>
      </c>
      <c r="C24" s="13" t="n">
        <v>-2.42751276545799</v>
      </c>
      <c r="D24" s="13" t="n">
        <v>0.689527639995541</v>
      </c>
    </row>
    <row r="25" customFormat="false" ht="15" hidden="false" customHeight="false" outlineLevel="0" collapsed="false">
      <c r="B25" s="32" t="n">
        <v>16160</v>
      </c>
      <c r="C25" s="13" t="n">
        <v>-2.85871159955905</v>
      </c>
      <c r="D25" s="13" t="n">
        <v>0.206737323300755</v>
      </c>
    </row>
    <row r="26" customFormat="false" ht="15" hidden="false" customHeight="false" outlineLevel="0" collapsed="false">
      <c r="B26" s="32" t="n">
        <v>17843</v>
      </c>
      <c r="C26" s="13" t="n">
        <v>-2.40022635319742</v>
      </c>
      <c r="D26" s="13" t="n">
        <v>0.36380577169801</v>
      </c>
    </row>
    <row r="27" customFormat="false" ht="15" hidden="false" customHeight="false" outlineLevel="0" collapsed="false">
      <c r="B27" s="32" t="n">
        <v>18230</v>
      </c>
      <c r="C27" s="13" t="n">
        <v>-2.63084865354375</v>
      </c>
      <c r="D27" s="13" t="n">
        <v>0.484090718459467</v>
      </c>
    </row>
    <row r="28" customFormat="false" ht="15" hidden="false" customHeight="false" outlineLevel="0" collapsed="false">
      <c r="B28" s="32" t="n">
        <v>19584</v>
      </c>
      <c r="C28" s="13" t="n">
        <v>-3.09756674450966</v>
      </c>
      <c r="D28" s="13" t="n">
        <v>0.479967535275409</v>
      </c>
    </row>
    <row r="29" customFormat="false" ht="15" hidden="false" customHeight="false" outlineLevel="0" collapsed="false">
      <c r="B29" s="32" t="n">
        <v>20520</v>
      </c>
      <c r="C29" s="13" t="n">
        <v>-2.83732438050958</v>
      </c>
      <c r="D29" s="13" t="n">
        <v>0.471031800615918</v>
      </c>
    </row>
    <row r="30" customFormat="false" ht="15" hidden="false" customHeight="false" outlineLevel="0" collapsed="false">
      <c r="B30" s="32" t="n">
        <v>21665</v>
      </c>
      <c r="C30" s="13" t="n">
        <v>-2.8467663146457</v>
      </c>
      <c r="D30" s="13" t="n">
        <v>0.369728632214383</v>
      </c>
    </row>
    <row r="31" customFormat="false" ht="15" hidden="false" customHeight="false" outlineLevel="0" collapsed="false">
      <c r="B31" s="32" t="n">
        <v>23194</v>
      </c>
      <c r="C31" s="13" t="n">
        <v>-3.72611304215726</v>
      </c>
      <c r="D31" s="13" t="n">
        <v>0.132469550813484</v>
      </c>
    </row>
    <row r="32" customFormat="false" ht="15" hidden="false" customHeight="false" outlineLevel="0" collapsed="false">
      <c r="B32" s="32" t="n">
        <v>23197</v>
      </c>
      <c r="C32" s="13" t="n">
        <v>-2.16994891381106</v>
      </c>
      <c r="D32" s="13" t="n">
        <v>0.696213419089736</v>
      </c>
    </row>
    <row r="33" customFormat="false" ht="15" hidden="false" customHeight="false" outlineLevel="0" collapsed="false">
      <c r="B33" s="32" t="n">
        <v>25445</v>
      </c>
      <c r="C33" s="13" t="n">
        <v>-1.50162007538904</v>
      </c>
      <c r="D33" s="13" t="n">
        <v>0.442655994965321</v>
      </c>
    </row>
    <row r="34" customFormat="false" ht="15" hidden="false" customHeight="false" outlineLevel="0" collapsed="false">
      <c r="B34" s="32" t="n">
        <v>26058</v>
      </c>
      <c r="C34" s="13" t="n">
        <v>-2.71430770111245</v>
      </c>
      <c r="D34" s="13" t="n">
        <v>0.355833878950127</v>
      </c>
    </row>
    <row r="35" customFormat="false" ht="15" hidden="false" customHeight="false" outlineLevel="0" collapsed="false">
      <c r="B35" s="32" t="n">
        <v>30305</v>
      </c>
      <c r="C35" s="13" t="n">
        <v>-2.53016095277686</v>
      </c>
      <c r="D35" s="13" t="n">
        <v>1.79305976081183</v>
      </c>
    </row>
    <row r="36" customFormat="false" ht="15" hidden="false" customHeight="false" outlineLevel="0" collapsed="false">
      <c r="B36" s="32" t="n">
        <v>30697</v>
      </c>
      <c r="C36" s="13" t="n">
        <v>-2.55328273923239</v>
      </c>
      <c r="D36" s="13" t="n">
        <v>0.43261051544149</v>
      </c>
    </row>
    <row r="37" customFormat="false" ht="15" hidden="false" customHeight="false" outlineLevel="0" collapsed="false">
      <c r="B37" s="32" t="n">
        <v>31107</v>
      </c>
      <c r="C37" s="13" t="n">
        <v>-2.98798480261464</v>
      </c>
      <c r="D37" s="13" t="n">
        <v>1.45736311418972</v>
      </c>
    </row>
    <row r="38" customFormat="false" ht="15" hidden="false" customHeight="false" outlineLevel="0" collapsed="false">
      <c r="B38" s="32" t="n">
        <v>31235</v>
      </c>
      <c r="C38" s="13" t="n">
        <v>-2.49906154206556</v>
      </c>
      <c r="D38" s="13" t="n">
        <v>0.473584846448462</v>
      </c>
    </row>
    <row r="39" customFormat="false" ht="15" hidden="false" customHeight="false" outlineLevel="0" collapsed="false">
      <c r="B39" s="32" t="n">
        <v>31462</v>
      </c>
      <c r="C39" s="13" t="n">
        <v>-2.69860520975998</v>
      </c>
      <c r="D39" s="13" t="n">
        <v>0.499865233416344</v>
      </c>
    </row>
    <row r="40" customFormat="false" ht="15" hidden="false" customHeight="false" outlineLevel="0" collapsed="false">
      <c r="B40" s="32" t="n">
        <v>31667</v>
      </c>
      <c r="C40" s="13" t="n">
        <v>-2.76305615463346</v>
      </c>
      <c r="D40" s="13" t="n">
        <v>0.39371891960532</v>
      </c>
    </row>
    <row r="41" customFormat="false" ht="15" hidden="false" customHeight="false" outlineLevel="0" collapsed="false">
      <c r="B41" s="32" t="n">
        <v>31791</v>
      </c>
      <c r="C41" s="13" t="n">
        <v>-2.18832922605962</v>
      </c>
      <c r="D41" s="13" t="n">
        <v>0.570585201913341</v>
      </c>
    </row>
    <row r="42" customFormat="false" ht="15" hidden="false" customHeight="false" outlineLevel="0" collapsed="false">
      <c r="B42" s="32" t="n">
        <v>33002</v>
      </c>
      <c r="C42" s="13" t="n">
        <v>-2.69019983811242</v>
      </c>
      <c r="D42" s="13" t="n">
        <v>0.389930061560013</v>
      </c>
    </row>
    <row r="43" customFormat="false" ht="15" hidden="false" customHeight="false" outlineLevel="0" collapsed="false">
      <c r="B43" s="32" t="n">
        <v>33185</v>
      </c>
      <c r="C43" s="13" t="n">
        <v>-2.62195642413099</v>
      </c>
      <c r="D43" s="13" t="n">
        <v>1.58884976533375</v>
      </c>
    </row>
    <row r="44" customFormat="false" ht="15" hidden="false" customHeight="false" outlineLevel="0" collapsed="false">
      <c r="B44" s="32" t="n">
        <v>33213</v>
      </c>
      <c r="C44" s="13" t="n">
        <v>-3.26669834763333</v>
      </c>
      <c r="D44" s="13" t="n">
        <v>0.13246207526139</v>
      </c>
    </row>
    <row r="45" customFormat="false" ht="15" hidden="false" customHeight="false" outlineLevel="0" collapsed="false">
      <c r="B45" s="32" t="n">
        <v>34067</v>
      </c>
      <c r="C45" s="13" t="n">
        <v>-2.57281866101998</v>
      </c>
      <c r="D45" s="13" t="n">
        <v>0.548487342498297</v>
      </c>
    </row>
    <row r="46" customFormat="false" ht="15" hidden="false" customHeight="false" outlineLevel="0" collapsed="false">
      <c r="B46" s="32" t="n">
        <v>34088</v>
      </c>
      <c r="C46" s="13" t="n">
        <v>-2.77473217448609</v>
      </c>
      <c r="D46" s="13" t="n">
        <v>0.575495420131756</v>
      </c>
    </row>
    <row r="47" customFormat="false" ht="15" hidden="false" customHeight="false" outlineLevel="0" collapsed="false">
      <c r="B47" s="32" t="n">
        <v>37472</v>
      </c>
      <c r="C47" s="13" t="n">
        <v>-2.69043278847033</v>
      </c>
      <c r="D47" s="13" t="n">
        <v>0.48011254189252</v>
      </c>
    </row>
    <row r="48" customFormat="false" ht="15" hidden="false" customHeight="false" outlineLevel="0" collapsed="false">
      <c r="B48" s="32" t="n">
        <v>37996</v>
      </c>
      <c r="C48" s="13" t="n">
        <v>-2.60253787371954</v>
      </c>
      <c r="D48" s="13" t="n">
        <v>1.27419629225342</v>
      </c>
    </row>
    <row r="49" customFormat="false" ht="15" hidden="false" customHeight="false" outlineLevel="0" collapsed="false">
      <c r="B49" s="32" t="n">
        <v>39020</v>
      </c>
      <c r="C49" s="13" t="n">
        <v>-3.09268991839814</v>
      </c>
      <c r="D49" s="13" t="n">
        <v>0.506193108892055</v>
      </c>
    </row>
    <row r="50" customFormat="false" ht="15" hidden="false" customHeight="false" outlineLevel="0" collapsed="false">
      <c r="B50" s="32" t="n">
        <v>39899</v>
      </c>
      <c r="C50" s="13" t="n">
        <v>-2.51995286519059</v>
      </c>
      <c r="D50" s="13" t="n">
        <v>0.563289804925034</v>
      </c>
    </row>
    <row r="51" customFormat="false" ht="15" hidden="false" customHeight="false" outlineLevel="0" collapsed="false">
      <c r="B51" s="32" t="n">
        <v>43196</v>
      </c>
      <c r="C51" s="13" t="n">
        <v>-3.2573884136248</v>
      </c>
      <c r="D51" s="13" t="n">
        <v>1.4481944219149</v>
      </c>
    </row>
    <row r="52" customFormat="false" ht="15" hidden="false" customHeight="false" outlineLevel="0" collapsed="false">
      <c r="B52" s="32" t="n">
        <v>45876</v>
      </c>
      <c r="C52" s="13" t="n">
        <v>-2.68010376919133</v>
      </c>
      <c r="D52" s="13" t="n">
        <v>1.25811394291466</v>
      </c>
    </row>
    <row r="53" customFormat="false" ht="15" hidden="false" customHeight="false" outlineLevel="0" collapsed="false">
      <c r="B53" s="32" t="n">
        <v>45919</v>
      </c>
      <c r="C53" s="13" t="n">
        <v>-4.19075147292734</v>
      </c>
      <c r="D53" s="13" t="n">
        <v>0.495957711983884</v>
      </c>
    </row>
    <row r="54" customFormat="false" ht="15" hidden="false" customHeight="false" outlineLevel="0" collapsed="false">
      <c r="B54" s="32" t="n">
        <v>46619</v>
      </c>
      <c r="C54" s="13" t="n">
        <v>-2.09291620798025</v>
      </c>
      <c r="D54" s="13" t="n">
        <v>0.835019596806205</v>
      </c>
    </row>
    <row r="55" customFormat="false" ht="15" hidden="false" customHeight="false" outlineLevel="0" collapsed="false">
      <c r="B55" s="32" t="n">
        <v>48287</v>
      </c>
      <c r="C55" s="13" t="n">
        <v>-2.93509047370921</v>
      </c>
      <c r="D55" s="13" t="n">
        <v>1.3254081285664</v>
      </c>
    </row>
    <row r="56" customFormat="false" ht="15" hidden="false" customHeight="false" outlineLevel="0" collapsed="false">
      <c r="B56" s="32" t="n">
        <v>51644</v>
      </c>
      <c r="C56" s="13" t="n">
        <v>-2.24064821606983</v>
      </c>
      <c r="D56" s="13" t="n">
        <v>1.5907799414849</v>
      </c>
    </row>
    <row r="57" customFormat="false" ht="15" hidden="false" customHeight="false" outlineLevel="0" collapsed="false">
      <c r="B57" s="32" t="n">
        <v>55242</v>
      </c>
      <c r="C57" s="13" t="n">
        <v>-2.65008738849987</v>
      </c>
      <c r="D57" s="13" t="n">
        <v>0.323976675420135</v>
      </c>
    </row>
    <row r="58" customFormat="false" ht="15" hidden="false" customHeight="false" outlineLevel="0" collapsed="false">
      <c r="B58" s="32" t="n">
        <v>55529</v>
      </c>
      <c r="C58" s="13" t="n">
        <v>-2.81390313649208</v>
      </c>
      <c r="D58" s="13" t="n">
        <v>0.919138078815119</v>
      </c>
    </row>
    <row r="59" customFormat="false" ht="15" hidden="false" customHeight="false" outlineLevel="0" collapsed="false">
      <c r="B59" s="32" t="n">
        <v>56679</v>
      </c>
      <c r="C59" s="13" t="n">
        <v>-2.64009979351814</v>
      </c>
      <c r="D59" s="13" t="n">
        <v>0.447703356995378</v>
      </c>
    </row>
    <row r="60" customFormat="false" ht="15" hidden="false" customHeight="false" outlineLevel="0" collapsed="false">
      <c r="B60" s="32" t="n">
        <v>56868</v>
      </c>
      <c r="C60" s="13" t="n">
        <v>-2.93827831364058</v>
      </c>
      <c r="D60" s="13" t="n">
        <v>0.844043534546187</v>
      </c>
    </row>
    <row r="61" customFormat="false" ht="15" hidden="false" customHeight="false" outlineLevel="0" collapsed="false">
      <c r="B61" s="32" t="n">
        <v>59527</v>
      </c>
      <c r="C61" s="13" t="n">
        <v>-2.64791561123963</v>
      </c>
      <c r="D61" s="13" t="n">
        <v>0.414196665526362</v>
      </c>
    </row>
    <row r="62" customFormat="false" ht="15" hidden="false" customHeight="false" outlineLevel="0" collapsed="false">
      <c r="B62" s="32" t="n">
        <v>60519</v>
      </c>
      <c r="C62" s="13" t="n">
        <v>-2.0524818343955</v>
      </c>
      <c r="D62" s="13" t="n">
        <v>0.275203005367498</v>
      </c>
    </row>
    <row r="63" customFormat="false" ht="15" hidden="false" customHeight="false" outlineLevel="0" collapsed="false">
      <c r="B63" s="32" t="n">
        <v>63754</v>
      </c>
      <c r="C63" s="13" t="n">
        <v>-2.64931624993453</v>
      </c>
      <c r="D63" s="13" t="n">
        <v>1.65564240151493</v>
      </c>
    </row>
    <row r="64" customFormat="false" ht="15" hidden="false" customHeight="false" outlineLevel="0" collapsed="false">
      <c r="B64" s="32" t="n">
        <v>64040</v>
      </c>
      <c r="C64" s="13" t="n">
        <v>-2.44582531726865</v>
      </c>
      <c r="D64" s="13" t="n">
        <v>0.736077288200358</v>
      </c>
    </row>
    <row r="65" customFormat="false" ht="15" hidden="false" customHeight="false" outlineLevel="0" collapsed="false">
      <c r="B65" s="32" t="n">
        <v>65270</v>
      </c>
      <c r="C65" s="13" t="n">
        <v>-3.00826243048854</v>
      </c>
      <c r="D65" s="13" t="n">
        <v>0.483564386653533</v>
      </c>
    </row>
    <row r="66" customFormat="false" ht="15" hidden="false" customHeight="false" outlineLevel="0" collapsed="false">
      <c r="B66" s="32" t="n">
        <v>66570</v>
      </c>
      <c r="C66" s="13" t="n">
        <v>-2.63292981451215</v>
      </c>
      <c r="D66" s="13" t="n">
        <v>1.57960065942742</v>
      </c>
    </row>
    <row r="67" customFormat="false" ht="15" hidden="false" customHeight="false" outlineLevel="0" collapsed="false">
      <c r="B67" s="32" t="n">
        <v>66756</v>
      </c>
      <c r="C67" s="13" t="n">
        <v>-2.56953768871608</v>
      </c>
      <c r="D67" s="13" t="n">
        <v>0.440534913933164</v>
      </c>
    </row>
    <row r="68" customFormat="false" ht="15" hidden="false" customHeight="false" outlineLevel="0" collapsed="false">
      <c r="B68" s="32" t="n">
        <v>67215</v>
      </c>
      <c r="C68" s="13" t="n">
        <v>-2.35925349010757</v>
      </c>
      <c r="D68" s="13" t="n">
        <v>0.623571362991739</v>
      </c>
    </row>
    <row r="69" customFormat="false" ht="15" hidden="false" customHeight="false" outlineLevel="0" collapsed="false">
      <c r="B69" s="32" t="n">
        <v>67347</v>
      </c>
      <c r="C69" s="13" t="n">
        <v>-2.65682902675288</v>
      </c>
      <c r="D69" s="13" t="n">
        <v>0.482547245613055</v>
      </c>
    </row>
    <row r="70" customFormat="false" ht="15" hidden="false" customHeight="false" outlineLevel="0" collapsed="false">
      <c r="B70" s="32" t="n">
        <v>69488</v>
      </c>
      <c r="C70" s="13" t="n">
        <v>-2.69400047919392</v>
      </c>
      <c r="D70" s="13" t="n">
        <v>1.22229774137791</v>
      </c>
    </row>
    <row r="71" customFormat="false" ht="15" hidden="false" customHeight="false" outlineLevel="0" collapsed="false">
      <c r="B71" s="32" t="n">
        <v>69633</v>
      </c>
      <c r="C71" s="13" t="n">
        <v>-2.20258211271105</v>
      </c>
      <c r="D71" s="13" t="n">
        <v>0.481482029191455</v>
      </c>
    </row>
    <row r="72" customFormat="false" ht="15" hidden="false" customHeight="false" outlineLevel="0" collapsed="false">
      <c r="B72" s="32" t="n">
        <v>69891</v>
      </c>
      <c r="C72" s="13" t="n">
        <v>-2.54469947369206</v>
      </c>
      <c r="D72" s="13" t="n">
        <v>0.232817603021594</v>
      </c>
    </row>
    <row r="73" customFormat="false" ht="15" hidden="false" customHeight="false" outlineLevel="0" collapsed="false">
      <c r="B73" s="32" t="n">
        <v>70487</v>
      </c>
      <c r="C73" s="13" t="n">
        <v>-3.23573406181534</v>
      </c>
      <c r="D73" s="13" t="n">
        <v>0.377974711892297</v>
      </c>
    </row>
    <row r="74" customFormat="false" ht="15" hidden="false" customHeight="false" outlineLevel="0" collapsed="false">
      <c r="B74" s="32" t="n">
        <v>70866</v>
      </c>
      <c r="C74" s="13" t="n">
        <v>-3.79777142511743</v>
      </c>
      <c r="D74" s="13" t="n">
        <v>0.516757970007394</v>
      </c>
    </row>
    <row r="75" customFormat="false" ht="15" hidden="false" customHeight="false" outlineLevel="0" collapsed="false">
      <c r="B75" s="32" t="n">
        <v>72573</v>
      </c>
      <c r="C75" s="13" t="n">
        <v>-2.67126248604585</v>
      </c>
      <c r="D75" s="13" t="n">
        <v>0.333138176090211</v>
      </c>
    </row>
    <row r="76" customFormat="false" ht="15" hidden="false" customHeight="false" outlineLevel="0" collapsed="false">
      <c r="B76" s="32" t="n">
        <v>73309</v>
      </c>
      <c r="C76" s="13" t="n">
        <v>-2.83131062280741</v>
      </c>
      <c r="D76" s="13" t="n">
        <v>0.291756619593204</v>
      </c>
    </row>
    <row r="77" customFormat="false" ht="15" hidden="false" customHeight="false" outlineLevel="0" collapsed="false">
      <c r="B77" s="32" t="n">
        <v>75208</v>
      </c>
      <c r="C77" s="13" t="n">
        <v>-2.79395099400366</v>
      </c>
      <c r="D77" s="13" t="n">
        <v>0.18225354312417</v>
      </c>
    </row>
    <row r="78" customFormat="false" ht="15" hidden="false" customHeight="false" outlineLevel="0" collapsed="false">
      <c r="B78" s="32" t="n">
        <v>76605</v>
      </c>
      <c r="C78" s="13" t="n">
        <v>-2.93158276427508</v>
      </c>
      <c r="D78" s="13" t="n">
        <v>0.53064069491843</v>
      </c>
    </row>
    <row r="79" customFormat="false" ht="15" hidden="false" customHeight="false" outlineLevel="0" collapsed="false">
      <c r="B79" s="32" t="n">
        <v>78003</v>
      </c>
      <c r="C79" s="13" t="n">
        <v>-2.37551200546658</v>
      </c>
      <c r="D79" s="13" t="n">
        <v>1.7699011310995</v>
      </c>
    </row>
    <row r="80" customFormat="false" ht="15" hidden="false" customHeight="false" outlineLevel="0" collapsed="false">
      <c r="B80" s="32" t="n">
        <v>79879</v>
      </c>
      <c r="C80" s="13" t="n">
        <v>-2.82933346155705</v>
      </c>
      <c r="D80" s="13" t="n">
        <v>0.459965163323233</v>
      </c>
    </row>
    <row r="81" customFormat="false" ht="15" hidden="false" customHeight="false" outlineLevel="0" collapsed="false">
      <c r="B81" s="32" t="n">
        <v>80172</v>
      </c>
      <c r="C81" s="13" t="n">
        <v>-3.13541185525211</v>
      </c>
      <c r="D81" s="13" t="n">
        <v>0.397351918598677</v>
      </c>
    </row>
    <row r="82" customFormat="false" ht="15" hidden="false" customHeight="false" outlineLevel="0" collapsed="false">
      <c r="B82" s="32" t="n">
        <v>80420</v>
      </c>
      <c r="C82" s="13" t="n">
        <v>-3.33292426619833</v>
      </c>
      <c r="D82" s="13" t="n">
        <v>0.246630884401418</v>
      </c>
    </row>
    <row r="83" customFormat="false" ht="15" hidden="false" customHeight="false" outlineLevel="0" collapsed="false">
      <c r="B83" s="32" t="n">
        <v>81362</v>
      </c>
      <c r="C83" s="13" t="n">
        <v>-2.85018771109627</v>
      </c>
      <c r="D83" s="13" t="n">
        <v>0.513435126705265</v>
      </c>
    </row>
    <row r="84" customFormat="false" ht="15" hidden="false" customHeight="false" outlineLevel="0" collapsed="false">
      <c r="B84" s="32" t="n">
        <v>82020</v>
      </c>
      <c r="C84" s="13" t="n">
        <v>-2.67856622015092</v>
      </c>
      <c r="D84" s="13" t="n">
        <v>0.149011941488196</v>
      </c>
    </row>
    <row r="85" customFormat="false" ht="15" hidden="false" customHeight="false" outlineLevel="0" collapsed="false">
      <c r="B85" s="32" t="n">
        <v>84839</v>
      </c>
      <c r="C85" s="13" t="n">
        <v>-2.50177236025176</v>
      </c>
      <c r="D85" s="13" t="n">
        <v>0.613012420755882</v>
      </c>
    </row>
    <row r="86" customFormat="false" ht="15" hidden="false" customHeight="false" outlineLevel="0" collapsed="false">
      <c r="B86" s="32" t="n">
        <v>89439</v>
      </c>
      <c r="C86" s="13" t="n">
        <v>-2.65987464571422</v>
      </c>
      <c r="D86" s="13" t="n">
        <v>0.226002508446436</v>
      </c>
    </row>
    <row r="87" customFormat="false" ht="15" hidden="false" customHeight="false" outlineLevel="0" collapsed="false">
      <c r="B87" s="32" t="n">
        <v>93389</v>
      </c>
      <c r="C87" s="13" t="n">
        <v>-2.86148166662915</v>
      </c>
      <c r="D87" s="13" t="n">
        <v>0.949548746514573</v>
      </c>
    </row>
    <row r="88" customFormat="false" ht="15" hidden="false" customHeight="false" outlineLevel="0" collapsed="false">
      <c r="B88" s="32" t="n">
        <v>94845</v>
      </c>
      <c r="C88" s="13" t="n">
        <v>-2.50619322098822</v>
      </c>
      <c r="D88" s="13" t="n">
        <v>0.543855247447104</v>
      </c>
    </row>
    <row r="89" customFormat="false" ht="15" hidden="false" customHeight="false" outlineLevel="0" collapsed="false">
      <c r="B89" s="32" t="n">
        <v>95574</v>
      </c>
      <c r="C89" s="13" t="n">
        <v>-3.23429197596677</v>
      </c>
      <c r="D89" s="13" t="n">
        <v>1.25610221161706</v>
      </c>
    </row>
    <row r="90" customFormat="false" ht="15" hidden="false" customHeight="false" outlineLevel="0" collapsed="false">
      <c r="B90" s="32" t="n">
        <v>97210</v>
      </c>
      <c r="C90" s="13" t="n">
        <v>-2.73709298798447</v>
      </c>
      <c r="D90" s="13" t="n">
        <v>0.37642124792565</v>
      </c>
    </row>
    <row r="91" customFormat="false" ht="15" hidden="false" customHeight="false" outlineLevel="0" collapsed="false">
      <c r="B91" s="32" t="n">
        <v>97476</v>
      </c>
      <c r="C91" s="13" t="n">
        <v>-2.51125558528696</v>
      </c>
      <c r="D91" s="13" t="n">
        <v>1.11977928824272</v>
      </c>
    </row>
    <row r="92" customFormat="false" ht="15" hidden="false" customHeight="false" outlineLevel="0" collapsed="false">
      <c r="B92" s="32" t="n">
        <v>100591</v>
      </c>
      <c r="C92" s="13" t="n">
        <v>-3.01838598242924</v>
      </c>
      <c r="D92" s="13" t="n">
        <v>0.378138827189445</v>
      </c>
    </row>
    <row r="93" customFormat="false" ht="15" hidden="false" customHeight="false" outlineLevel="0" collapsed="false">
      <c r="B93" s="32" t="n">
        <v>100726</v>
      </c>
      <c r="C93" s="13" t="n">
        <v>-1.09679504907027</v>
      </c>
      <c r="D93" s="13" t="n">
        <v>0.258265829363144</v>
      </c>
    </row>
    <row r="94" customFormat="false" ht="15" hidden="false" customHeight="false" outlineLevel="0" collapsed="false">
      <c r="B94" s="32" t="n">
        <v>100885</v>
      </c>
      <c r="C94" s="13" t="n">
        <v>-2.49603985030185</v>
      </c>
      <c r="D94" s="13" t="n">
        <v>0.380303779951276</v>
      </c>
    </row>
    <row r="95" customFormat="false" ht="15" hidden="false" customHeight="false" outlineLevel="0" collapsed="false">
      <c r="B95" s="32" t="n">
        <v>101778</v>
      </c>
      <c r="C95" s="13" t="n">
        <v>-3.08049946879643</v>
      </c>
      <c r="D95" s="13" t="n">
        <v>0.383061625167567</v>
      </c>
    </row>
    <row r="96" customFormat="false" ht="15" hidden="false" customHeight="false" outlineLevel="0" collapsed="false">
      <c r="B96" s="32" t="n">
        <v>101984</v>
      </c>
      <c r="C96" s="13" t="n">
        <v>-4.12115911939172</v>
      </c>
      <c r="D96" s="13" t="n">
        <v>0.411339379501335</v>
      </c>
    </row>
    <row r="97" customFormat="false" ht="15" hidden="false" customHeight="false" outlineLevel="0" collapsed="false">
      <c r="B97" s="32" t="n">
        <v>102037</v>
      </c>
      <c r="C97" s="13" t="n">
        <v>-2.58150237376586</v>
      </c>
      <c r="D97" s="13" t="n">
        <v>0.513498981704857</v>
      </c>
    </row>
    <row r="98" customFormat="false" ht="15" hidden="false" customHeight="false" outlineLevel="0" collapsed="false">
      <c r="B98" s="32" t="n">
        <v>102752</v>
      </c>
      <c r="C98" s="13" t="n">
        <v>-1.99805702517009</v>
      </c>
      <c r="D98" s="13" t="n">
        <v>2.12735319286933</v>
      </c>
    </row>
    <row r="99" customFormat="false" ht="15" hidden="false" customHeight="false" outlineLevel="0" collapsed="false">
      <c r="B99" s="32" t="n">
        <v>103730</v>
      </c>
      <c r="C99" s="13" t="n">
        <v>-2.546657199215</v>
      </c>
      <c r="D99" s="13" t="n">
        <v>0.709240212898787</v>
      </c>
    </row>
    <row r="100" customFormat="false" ht="15" hidden="false" customHeight="false" outlineLevel="0" collapsed="false">
      <c r="B100" s="32" t="n">
        <v>104889</v>
      </c>
      <c r="C100" s="13" t="n">
        <v>-2.54287906864255</v>
      </c>
      <c r="D100" s="13" t="n">
        <v>0.61053340556921</v>
      </c>
    </row>
    <row r="101" customFormat="false" ht="15" hidden="false" customHeight="false" outlineLevel="0" collapsed="false">
      <c r="B101" s="32" t="n">
        <v>105132</v>
      </c>
      <c r="C101" s="13" t="n">
        <v>-2.70312204613966</v>
      </c>
      <c r="D101" s="13" t="n">
        <v>0.414319728072372</v>
      </c>
    </row>
    <row r="102" customFormat="false" ht="15" hidden="false" customHeight="false" outlineLevel="0" collapsed="false">
      <c r="B102" s="32" t="n">
        <v>105418</v>
      </c>
      <c r="C102" s="13" t="n">
        <v>-2.44943227351021</v>
      </c>
      <c r="D102" s="13" t="n">
        <v>0.250029629474326</v>
      </c>
    </row>
    <row r="103" customFormat="false" ht="15" hidden="false" customHeight="false" outlineLevel="0" collapsed="false">
      <c r="B103" s="32" t="n">
        <v>105634</v>
      </c>
      <c r="C103" s="13" t="n">
        <v>-2.60044169497405</v>
      </c>
      <c r="D103" s="13" t="n">
        <v>0.718445780557372</v>
      </c>
    </row>
    <row r="104" customFormat="false" ht="15" hidden="false" customHeight="false" outlineLevel="0" collapsed="false">
      <c r="B104" s="32" t="n">
        <v>105770</v>
      </c>
      <c r="C104" s="13" t="n">
        <v>-2.74336494054146</v>
      </c>
      <c r="D104" s="13" t="n">
        <v>0.243205352010726</v>
      </c>
    </row>
    <row r="105" customFormat="false" ht="15" hidden="false" customHeight="false" outlineLevel="0" collapsed="false">
      <c r="B105" s="32" t="n">
        <v>106040</v>
      </c>
      <c r="C105" s="13" t="n">
        <v>-1.96641357381038</v>
      </c>
      <c r="D105" s="13" t="n">
        <v>1.09544858401993</v>
      </c>
    </row>
    <row r="106" customFormat="false" ht="15" hidden="false" customHeight="false" outlineLevel="0" collapsed="false">
      <c r="B106" s="32" t="n">
        <v>106532</v>
      </c>
      <c r="C106" s="13" t="n">
        <v>-3.64156149850889</v>
      </c>
      <c r="D106" s="13" t="n">
        <v>0.260896247117146</v>
      </c>
    </row>
    <row r="107" customFormat="false" ht="15" hidden="false" customHeight="false" outlineLevel="0" collapsed="false">
      <c r="B107" s="32" t="n">
        <v>106535</v>
      </c>
      <c r="C107" s="13" t="n">
        <v>-2.24600048780996</v>
      </c>
      <c r="D107" s="13" t="n">
        <v>1.37184849932739</v>
      </c>
    </row>
    <row r="108" customFormat="false" ht="15" hidden="false" customHeight="false" outlineLevel="0" collapsed="false">
      <c r="B108" s="32" t="n">
        <v>107140</v>
      </c>
      <c r="C108" s="13" t="n">
        <v>-3.65903397415182</v>
      </c>
      <c r="D108" s="13" t="n">
        <v>1.46668670435331</v>
      </c>
    </row>
    <row r="109" customFormat="false" ht="15" hidden="false" customHeight="false" outlineLevel="0" collapsed="false">
      <c r="B109" s="32" t="n">
        <v>107687</v>
      </c>
      <c r="C109" s="13" t="n">
        <v>-2.57848816905659</v>
      </c>
      <c r="D109" s="13" t="n">
        <v>0.467227900562561</v>
      </c>
    </row>
    <row r="110" customFormat="false" ht="15" hidden="false" customHeight="false" outlineLevel="0" collapsed="false">
      <c r="B110" s="32" t="n">
        <v>108312</v>
      </c>
      <c r="C110" s="13" t="n">
        <v>-2.25067369786733</v>
      </c>
      <c r="D110" s="13" t="n">
        <v>0.503579152945188</v>
      </c>
    </row>
    <row r="111" customFormat="false" ht="15" hidden="false" customHeight="false" outlineLevel="0" collapsed="false">
      <c r="B111" s="32" t="n">
        <v>108516</v>
      </c>
      <c r="C111" s="13" t="n">
        <v>-2.73395957955395</v>
      </c>
      <c r="D111" s="13" t="n">
        <v>0.371146682294272</v>
      </c>
    </row>
    <row r="112" customFormat="false" ht="15" hidden="false" customHeight="false" outlineLevel="0" collapsed="false">
      <c r="B112" s="32" t="n">
        <v>200406</v>
      </c>
      <c r="C112" s="13" t="n">
        <v>-2.09878819577435</v>
      </c>
      <c r="D112" s="13" t="n">
        <v>0.385013685760189</v>
      </c>
    </row>
    <row r="113" customFormat="false" ht="15" hidden="false" customHeight="false" outlineLevel="0" collapsed="false">
      <c r="B113" s="32" t="n">
        <v>205402</v>
      </c>
      <c r="C113" s="13" t="n">
        <v>-2.38607146620783</v>
      </c>
      <c r="D113" s="13" t="n">
        <v>1.58432453160349</v>
      </c>
    </row>
    <row r="114" customFormat="false" ht="15" hidden="false" customHeight="false" outlineLevel="0" collapsed="false">
      <c r="B114" s="32" t="n">
        <v>275053</v>
      </c>
      <c r="C114" s="13" t="n">
        <v>-3.32149407436424</v>
      </c>
      <c r="D114" s="13" t="n">
        <v>0.242247656152766</v>
      </c>
    </row>
    <row r="115" customFormat="false" ht="15" hidden="false" customHeight="false" outlineLevel="0" collapsed="false">
      <c r="B115" s="32" t="n">
        <v>275880</v>
      </c>
      <c r="C115" s="13" t="n">
        <v>-2.46392531559692</v>
      </c>
      <c r="D115" s="13" t="n">
        <v>2.1166242276104</v>
      </c>
    </row>
    <row r="116" customFormat="false" ht="15" hidden="false" customHeight="false" outlineLevel="0" collapsed="false">
      <c r="B116" s="32" t="n">
        <v>277509</v>
      </c>
      <c r="C116" s="13" t="n">
        <v>-2.56495836119211</v>
      </c>
      <c r="D116" s="13" t="n">
        <v>0.600742835793507</v>
      </c>
    </row>
    <row r="117" customFormat="false" ht="15" hidden="false" customHeight="false" outlineLevel="0" collapsed="false">
      <c r="B117" s="32" t="n">
        <v>277638</v>
      </c>
      <c r="C117" s="13" t="n">
        <v>-2.15427145436154</v>
      </c>
      <c r="D117" s="13" t="n">
        <v>0.525239843047671</v>
      </c>
    </row>
    <row r="118" customFormat="false" ht="15" hidden="false" customHeight="false" outlineLevel="0" collapsed="false">
      <c r="B118" s="32" t="n">
        <v>310764</v>
      </c>
      <c r="C118" s="13" t="n">
        <v>-2.50446780382921</v>
      </c>
      <c r="D118" s="13" t="n">
        <v>1.59387537679404</v>
      </c>
    </row>
    <row r="119" customFormat="false" ht="15" hidden="false" customHeight="false" outlineLevel="0" collapsed="false">
      <c r="B119" s="32" t="n">
        <v>313927</v>
      </c>
      <c r="C119" s="13" t="n">
        <v>-2.44670256272352</v>
      </c>
      <c r="D119" s="13" t="n">
        <v>0.559968735936205</v>
      </c>
    </row>
    <row r="120" customFormat="false" ht="15" hidden="false" customHeight="false" outlineLevel="0" collapsed="false">
      <c r="B120" s="32" t="n">
        <v>315213</v>
      </c>
      <c r="C120" s="13" t="n">
        <v>-2.95260351908979</v>
      </c>
      <c r="D120" s="13" t="n">
        <v>0.386045170022542</v>
      </c>
    </row>
    <row r="121" customFormat="false" ht="15" hidden="false" customHeight="false" outlineLevel="0" collapsed="false">
      <c r="B121" s="32" t="n">
        <v>315293</v>
      </c>
      <c r="C121" s="13" t="n">
        <v>-2.54466459055015</v>
      </c>
      <c r="D121" s="13" t="n">
        <v>1.90276314014882</v>
      </c>
    </row>
    <row r="122" customFormat="false" ht="15" hidden="false" customHeight="false" outlineLevel="0" collapsed="false">
      <c r="B122" s="32" t="n">
        <v>315852</v>
      </c>
      <c r="C122" s="13" t="n">
        <v>-2.95216168629007</v>
      </c>
      <c r="D122" s="13" t="n">
        <v>0.706093407399148</v>
      </c>
    </row>
    <row r="123" customFormat="false" ht="15" hidden="false" customHeight="false" outlineLevel="0" collapsed="false">
      <c r="B123" s="32" t="n">
        <v>317788</v>
      </c>
      <c r="C123" s="13" t="n">
        <v>-4.42524281885081</v>
      </c>
      <c r="D123" s="13" t="n">
        <v>0.736699912694377</v>
      </c>
    </row>
    <row r="124" customFormat="false" ht="15" hidden="false" customHeight="false" outlineLevel="0" collapsed="false">
      <c r="B124" s="32" t="n">
        <v>319201</v>
      </c>
      <c r="C124" s="13" t="n">
        <v>-2.82473258882621</v>
      </c>
      <c r="D124" s="13" t="n">
        <v>1.45366945724386</v>
      </c>
    </row>
    <row r="125" customFormat="false" ht="15" hidden="false" customHeight="false" outlineLevel="0" collapsed="false">
      <c r="B125" s="32" t="n">
        <v>320121</v>
      </c>
      <c r="C125" s="13" t="n">
        <v>-3.40390585811064</v>
      </c>
      <c r="D125" s="13" t="n">
        <v>0.222346788333106</v>
      </c>
    </row>
    <row r="126" customFormat="false" ht="15" hidden="false" customHeight="false" outlineLevel="0" collapsed="false">
      <c r="B126" s="32" t="n">
        <v>320193</v>
      </c>
      <c r="C126" s="13" t="n">
        <v>-2.70640497575889</v>
      </c>
      <c r="D126" s="13" t="n">
        <v>1.24090576855172</v>
      </c>
    </row>
    <row r="127" customFormat="false" ht="15" hidden="false" customHeight="false" outlineLevel="0" collapsed="false">
      <c r="B127" s="32" t="n">
        <v>350868</v>
      </c>
      <c r="C127" s="13" t="n">
        <v>-2.98364512811355</v>
      </c>
      <c r="D127" s="13" t="n">
        <v>0.423319985992839</v>
      </c>
    </row>
    <row r="128" customFormat="false" ht="15" hidden="false" customHeight="false" outlineLevel="0" collapsed="false">
      <c r="B128" s="32" t="n">
        <v>350894</v>
      </c>
      <c r="C128" s="13" t="n">
        <v>-2.20357006131901</v>
      </c>
      <c r="D128" s="13" t="n">
        <v>1.03249955220963</v>
      </c>
    </row>
    <row r="129" customFormat="false" ht="15" hidden="false" customHeight="false" outlineLevel="0" collapsed="false">
      <c r="B129" s="32" t="n">
        <v>351834</v>
      </c>
      <c r="C129" s="13" t="n">
        <v>-3.82372966703207</v>
      </c>
      <c r="D129" s="13" t="n">
        <v>0.834686353064614</v>
      </c>
    </row>
    <row r="130" customFormat="false" ht="15" hidden="false" customHeight="false" outlineLevel="0" collapsed="false">
      <c r="B130" s="32" t="n">
        <v>353184</v>
      </c>
      <c r="C130" s="13" t="n">
        <v>-2.83977241437813</v>
      </c>
      <c r="D130" s="13" t="n">
        <v>1.20279258449832</v>
      </c>
    </row>
    <row r="131" customFormat="false" ht="15" hidden="false" customHeight="false" outlineLevel="0" collapsed="false">
      <c r="B131" s="32" t="n">
        <v>354950</v>
      </c>
      <c r="C131" s="13" t="n">
        <v>-2.79098550655856</v>
      </c>
      <c r="D131" s="13" t="n">
        <v>0.89280163213088</v>
      </c>
    </row>
    <row r="132" customFormat="false" ht="15" hidden="false" customHeight="false" outlineLevel="0" collapsed="false">
      <c r="B132" s="32" t="n">
        <v>355811</v>
      </c>
      <c r="C132" s="13" t="n">
        <v>-2.4794682310506</v>
      </c>
      <c r="D132" s="13" t="n">
        <v>1.1834321259221</v>
      </c>
    </row>
    <row r="133" customFormat="false" ht="15" hidden="false" customHeight="false" outlineLevel="0" collapsed="false">
      <c r="B133" s="32" t="n">
        <v>355948</v>
      </c>
      <c r="C133" s="13" t="n">
        <v>-2.9501150592925</v>
      </c>
      <c r="D133" s="13" t="n">
        <v>1.46565117896249</v>
      </c>
    </row>
    <row r="134" customFormat="false" ht="15" hidden="false" customHeight="false" outlineLevel="0" collapsed="false">
      <c r="B134" s="32" t="n">
        <v>701288</v>
      </c>
      <c r="C134" s="13" t="n">
        <v>1051.38384811282</v>
      </c>
      <c r="D134" s="13" t="n">
        <v>2.54169718743082</v>
      </c>
    </row>
    <row r="135" customFormat="false" ht="15" hidden="false" customHeight="false" outlineLevel="0" collapsed="false">
      <c r="B135" s="32" t="n">
        <v>701719</v>
      </c>
      <c r="C135" s="13" t="n">
        <v>-1.66480146063729</v>
      </c>
      <c r="D135" s="13" t="n">
        <v>0.428845181602502</v>
      </c>
    </row>
    <row r="136" customFormat="false" ht="15" hidden="false" customHeight="false" outlineLevel="0" collapsed="false">
      <c r="B136" s="32" t="n">
        <v>702165</v>
      </c>
      <c r="C136" s="13" t="n">
        <v>-2.60870246014219</v>
      </c>
      <c r="D136" s="13" t="n">
        <v>0.140420613991136</v>
      </c>
    </row>
    <row r="137" customFormat="false" ht="15" hidden="false" customHeight="false" outlineLevel="0" collapsed="false">
      <c r="B137" s="32" t="n">
        <v>703604</v>
      </c>
      <c r="C137" s="13" t="n">
        <v>-2.62094218440671</v>
      </c>
      <c r="D137" s="13" t="n">
        <v>2.00332971429358</v>
      </c>
    </row>
    <row r="138" customFormat="false" ht="15" hidden="false" customHeight="false" outlineLevel="0" collapsed="false">
      <c r="B138" s="32" t="n">
        <v>704532</v>
      </c>
      <c r="C138" s="13" t="n">
        <v>-2.92902774496056</v>
      </c>
      <c r="D138" s="13" t="n">
        <v>0.512445929893351</v>
      </c>
    </row>
    <row r="139" customFormat="false" ht="15" hidden="false" customHeight="false" outlineLevel="0" collapsed="false">
      <c r="B139" s="32" t="n">
        <v>704562</v>
      </c>
      <c r="C139" s="13" t="n">
        <v>-2.18155674981096</v>
      </c>
      <c r="D139" s="13" t="n">
        <v>0.380277606178967</v>
      </c>
    </row>
    <row r="140" customFormat="false" ht="15" hidden="false" customHeight="false" outlineLevel="0" collapsed="false">
      <c r="B140" s="32" t="n">
        <v>708821</v>
      </c>
      <c r="C140" s="13" t="n">
        <v>-2.80226976304759</v>
      </c>
      <c r="D140" s="13" t="n">
        <v>0.626995251137895</v>
      </c>
    </row>
    <row r="141" customFormat="false" ht="15" hidden="false" customHeight="false" outlineLevel="0" collapsed="false">
      <c r="B141" s="32" t="n">
        <v>709283</v>
      </c>
      <c r="C141" s="13" t="n">
        <v>-3.4354337733164</v>
      </c>
      <c r="D141" s="13" t="n">
        <v>0.422044711683517</v>
      </c>
    </row>
    <row r="142" customFormat="false" ht="15" hidden="false" customHeight="false" outlineLevel="0" collapsed="false">
      <c r="B142" s="32" t="n">
        <v>711377</v>
      </c>
      <c r="C142" s="13" t="n">
        <v>-2.46333412259251</v>
      </c>
      <c r="D142" s="13" t="n">
        <v>0.615864137457362</v>
      </c>
    </row>
    <row r="143" customFormat="false" ht="15" hidden="false" customHeight="false" outlineLevel="0" collapsed="false">
      <c r="B143" s="32" t="n">
        <v>711404</v>
      </c>
      <c r="C143" s="13" t="n">
        <v>-2.51689263280776</v>
      </c>
      <c r="D143" s="13" t="n">
        <v>1.61310901442794</v>
      </c>
    </row>
    <row r="144" customFormat="false" ht="15" hidden="false" customHeight="false" outlineLevel="0" collapsed="false">
      <c r="B144" s="32" t="n">
        <v>712515</v>
      </c>
      <c r="C144" s="13" t="n">
        <v>-2.84959477144802</v>
      </c>
      <c r="D144" s="13" t="n">
        <v>0.424622162084507</v>
      </c>
    </row>
    <row r="145" customFormat="false" ht="15" hidden="false" customHeight="false" outlineLevel="0" collapsed="false">
      <c r="B145" s="32" t="n">
        <v>713425</v>
      </c>
      <c r="C145" s="13" t="n">
        <v>-2.5993963885842</v>
      </c>
      <c r="D145" s="13" t="n">
        <v>0.359241855951538</v>
      </c>
    </row>
    <row r="146" customFormat="false" ht="15" hidden="false" customHeight="false" outlineLevel="0" collapsed="false">
      <c r="B146" s="32" t="n">
        <v>715957</v>
      </c>
      <c r="C146" s="13" t="n">
        <v>-3.05422527504659</v>
      </c>
      <c r="D146" s="13" t="n">
        <v>0.704620626536318</v>
      </c>
    </row>
    <row r="147" customFormat="false" ht="15" hidden="false" customHeight="false" outlineLevel="0" collapsed="false">
      <c r="B147" s="32" t="n">
        <v>716133</v>
      </c>
      <c r="C147" s="13" t="n">
        <v>-3.58340103469393</v>
      </c>
      <c r="D147" s="13" t="n">
        <v>0.641126872880826</v>
      </c>
    </row>
    <row r="148" customFormat="false" ht="15" hidden="false" customHeight="false" outlineLevel="0" collapsed="false">
      <c r="B148" s="32" t="n">
        <v>716314</v>
      </c>
      <c r="C148" s="13" t="n">
        <v>-3.09161964144685</v>
      </c>
      <c r="D148" s="13" t="n">
        <v>1.48449199594309</v>
      </c>
    </row>
    <row r="149" customFormat="false" ht="15" hidden="false" customHeight="false" outlineLevel="0" collapsed="false">
      <c r="B149" s="32" t="n">
        <v>716634</v>
      </c>
      <c r="C149" s="13" t="n">
        <v>-2.51601848665353</v>
      </c>
      <c r="D149" s="13" t="n">
        <v>0.734415365810268</v>
      </c>
    </row>
    <row r="150" customFormat="false" ht="15" hidden="false" customHeight="false" outlineLevel="0" collapsed="false">
      <c r="B150" s="32" t="n">
        <v>716643</v>
      </c>
      <c r="C150" s="13" t="n">
        <v>-2.664344453946</v>
      </c>
      <c r="D150" s="13" t="n">
        <v>0.614609450173239</v>
      </c>
    </row>
    <row r="151" customFormat="false" ht="15" hidden="false" customHeight="false" outlineLevel="0" collapsed="false">
      <c r="B151" s="32" t="n">
        <v>718937</v>
      </c>
      <c r="C151" s="13" t="n">
        <v>-2.06838773905092</v>
      </c>
      <c r="D151" s="13" t="n">
        <v>0.325254030742591</v>
      </c>
    </row>
    <row r="152" customFormat="false" ht="15" hidden="false" customHeight="false" outlineLevel="0" collapsed="false">
      <c r="B152" s="32" t="n">
        <v>719135</v>
      </c>
      <c r="C152" s="13" t="n">
        <v>-3.05144534947224</v>
      </c>
      <c r="D152" s="13" t="n">
        <v>0.38774163395998</v>
      </c>
    </row>
    <row r="153" customFormat="false" ht="15" hidden="false" customHeight="false" outlineLevel="0" collapsed="false">
      <c r="B153" s="32" t="n">
        <v>720500</v>
      </c>
      <c r="C153" s="13" t="n">
        <v>-2.58624842988307</v>
      </c>
      <c r="D153" s="13" t="n">
        <v>1.88116445648753</v>
      </c>
    </row>
    <row r="154" customFormat="false" ht="15" hidden="false" customHeight="false" outlineLevel="0" collapsed="false">
      <c r="B154" s="32" t="n">
        <v>724004</v>
      </c>
      <c r="C154" s="13" t="n">
        <v>-4.06592015054665</v>
      </c>
      <c r="D154" s="13" t="n">
        <v>0.872729361275546</v>
      </c>
    </row>
    <row r="155" customFormat="false" ht="15" hidden="false" customHeight="false" outlineLevel="0" collapsed="false">
      <c r="B155" s="32" t="n">
        <v>728391</v>
      </c>
      <c r="C155" s="13" t="n">
        <v>-2.58218071136806</v>
      </c>
      <c r="D155" s="13" t="n">
        <v>0.178144337910871</v>
      </c>
    </row>
    <row r="156" customFormat="false" ht="15" hidden="false" customHeight="false" outlineLevel="0" collapsed="false">
      <c r="B156" s="32" t="n">
        <v>729580</v>
      </c>
      <c r="C156" s="13" t="n">
        <v>-2.94714071447022</v>
      </c>
      <c r="D156" s="13" t="n">
        <v>0.418844809440658</v>
      </c>
    </row>
    <row r="157" customFormat="false" ht="15" hidden="false" customHeight="false" outlineLevel="0" collapsed="false">
      <c r="B157" s="32" t="n">
        <v>730464</v>
      </c>
      <c r="C157" s="13" t="n">
        <v>-2.39068098962785</v>
      </c>
      <c r="D157" s="13" t="n">
        <v>0.569878945937339</v>
      </c>
    </row>
    <row r="158" customFormat="false" ht="15" hidden="false" customHeight="false" outlineLevel="0" collapsed="false">
      <c r="B158" s="32" t="n">
        <v>731766</v>
      </c>
      <c r="C158" s="13" t="n">
        <v>-2.41798482606319</v>
      </c>
      <c r="D158" s="13" t="n">
        <v>1.70219726963167</v>
      </c>
    </row>
    <row r="159" customFormat="false" ht="15" hidden="false" customHeight="false" outlineLevel="0" collapsed="false">
      <c r="B159" s="32" t="n">
        <v>743238</v>
      </c>
      <c r="C159" s="13" t="n">
        <v>-3.23858413936061</v>
      </c>
      <c r="D159" s="13" t="n">
        <v>1.25404094788242</v>
      </c>
    </row>
    <row r="160" customFormat="false" ht="15" hidden="false" customHeight="false" outlineLevel="0" collapsed="false">
      <c r="B160" s="32" t="n">
        <v>746598</v>
      </c>
      <c r="C160" s="13" t="n">
        <v>-2.58300561301907</v>
      </c>
      <c r="D160" s="13" t="n">
        <v>0.447289023897079</v>
      </c>
    </row>
    <row r="161" customFormat="false" ht="15" hidden="false" customHeight="false" outlineLevel="0" collapsed="false">
      <c r="B161" s="32" t="n">
        <v>749098</v>
      </c>
      <c r="C161" s="13" t="n">
        <v>-2.66556933236467</v>
      </c>
      <c r="D161" s="13" t="n">
        <v>0.429958975527581</v>
      </c>
    </row>
    <row r="162" customFormat="false" ht="15" hidden="false" customHeight="false" outlineLevel="0" collapsed="false">
      <c r="B162" s="32" t="n">
        <v>749251</v>
      </c>
      <c r="C162" s="13" t="n">
        <v>-2.63106621262315</v>
      </c>
      <c r="D162" s="13" t="n">
        <v>0.493512967941436</v>
      </c>
    </row>
    <row r="163" customFormat="false" ht="15" hidden="false" customHeight="false" outlineLevel="0" collapsed="false">
      <c r="B163" s="32" t="n">
        <v>750004</v>
      </c>
      <c r="C163" s="13" t="n">
        <v>-2.76354394415236</v>
      </c>
      <c r="D163" s="13" t="n">
        <v>0.977081721750807</v>
      </c>
    </row>
    <row r="164" customFormat="false" ht="15" hidden="false" customHeight="false" outlineLevel="0" collapsed="false">
      <c r="B164" s="32" t="n">
        <v>751978</v>
      </c>
      <c r="C164" s="13" t="n">
        <v>-2.43838828057054</v>
      </c>
      <c r="D164" s="13" t="n">
        <v>0.185395667262846</v>
      </c>
    </row>
    <row r="165" customFormat="false" ht="15" hidden="false" customHeight="false" outlineLevel="0" collapsed="false">
      <c r="B165" s="32" t="n">
        <v>763744</v>
      </c>
      <c r="C165" s="13" t="n">
        <v>-2.91407908029917</v>
      </c>
      <c r="D165" s="13" t="n">
        <v>0.477508547586564</v>
      </c>
    </row>
    <row r="166" customFormat="false" ht="15" hidden="false" customHeight="false" outlineLevel="0" collapsed="false">
      <c r="B166" s="32" t="n">
        <v>764065</v>
      </c>
      <c r="C166" s="13" t="n">
        <v>-2.67822250179232</v>
      </c>
      <c r="D166" s="13" t="n">
        <v>0.254625528103278</v>
      </c>
    </row>
    <row r="167" customFormat="false" ht="15" hidden="false" customHeight="false" outlineLevel="0" collapsed="false">
      <c r="B167" s="32" t="n">
        <v>778164</v>
      </c>
      <c r="C167" s="13" t="n">
        <v>-4.5715783161587</v>
      </c>
      <c r="D167" s="13" t="n">
        <v>0.183362061850592</v>
      </c>
    </row>
    <row r="168" customFormat="false" ht="15" hidden="false" customHeight="false" outlineLevel="0" collapsed="false">
      <c r="B168" s="32" t="n">
        <v>779152</v>
      </c>
      <c r="C168" s="13" t="n">
        <v>-2.39258448933094</v>
      </c>
      <c r="D168" s="13" t="n">
        <v>1.91258780194947</v>
      </c>
    </row>
    <row r="169" customFormat="false" ht="15" hidden="false" customHeight="false" outlineLevel="0" collapsed="false">
      <c r="B169" s="32" t="n">
        <v>779544</v>
      </c>
      <c r="C169" s="13" t="n">
        <v>-2.76134113023641</v>
      </c>
      <c r="D169" s="13" t="n">
        <v>0.465456270094383</v>
      </c>
    </row>
    <row r="170" customFormat="false" ht="15" hidden="false" customHeight="false" outlineLevel="0" collapsed="false">
      <c r="B170" s="32" t="n">
        <v>780571</v>
      </c>
      <c r="C170" s="13" t="n">
        <v>-2.48082364155171</v>
      </c>
      <c r="D170" s="13" t="n">
        <v>1.54653280452963</v>
      </c>
    </row>
    <row r="171" customFormat="false" ht="15" hidden="false" customHeight="false" outlineLevel="0" collapsed="false">
      <c r="B171" s="32" t="n">
        <v>784199</v>
      </c>
      <c r="C171" s="13" t="n">
        <v>-2.67757150906566</v>
      </c>
      <c r="D171" s="13" t="n">
        <v>1.68563540182683</v>
      </c>
    </row>
    <row r="172" customFormat="false" ht="15" hidden="false" customHeight="false" outlineLevel="0" collapsed="false">
      <c r="B172" s="32" t="n">
        <v>787250</v>
      </c>
      <c r="C172" s="13" t="n">
        <v>-2.36600147591094</v>
      </c>
      <c r="D172" s="13" t="n">
        <v>0.470730481870281</v>
      </c>
    </row>
    <row r="173" customFormat="false" ht="15" hidden="false" customHeight="false" outlineLevel="0" collapsed="false">
      <c r="B173" s="32" t="n">
        <v>788329</v>
      </c>
      <c r="C173" s="13" t="n">
        <v>-2.87186973263018</v>
      </c>
      <c r="D173" s="13" t="n">
        <v>1.18642464562674</v>
      </c>
    </row>
    <row r="174" customFormat="false" ht="15" hidden="false" customHeight="false" outlineLevel="0" collapsed="false">
      <c r="B174" s="32" t="n">
        <v>788965</v>
      </c>
      <c r="C174" s="13" t="n">
        <v>-2.52256865547167</v>
      </c>
      <c r="D174" s="13" t="n">
        <v>0.452005998692036</v>
      </c>
    </row>
    <row r="175" customFormat="false" ht="15" hidden="false" customHeight="false" outlineLevel="0" collapsed="false">
      <c r="B175" s="32" t="n">
        <v>789019</v>
      </c>
      <c r="C175" s="13" t="n">
        <v>-2.2884693598266</v>
      </c>
      <c r="D175" s="13" t="n">
        <v>1.4080534463296</v>
      </c>
    </row>
    <row r="176" customFormat="false" ht="15" hidden="false" customHeight="false" outlineLevel="0" collapsed="false">
      <c r="B176" s="32" t="n">
        <v>789460</v>
      </c>
      <c r="C176" s="13" t="n">
        <v>-2.80765292889135</v>
      </c>
      <c r="D176" s="13" t="n">
        <v>0.467698237137083</v>
      </c>
    </row>
    <row r="177" customFormat="false" ht="15" hidden="false" customHeight="false" outlineLevel="0" collapsed="false">
      <c r="B177" s="32" t="n">
        <v>790526</v>
      </c>
      <c r="C177" s="13" t="n">
        <v>-2.85809929446934</v>
      </c>
      <c r="D177" s="13" t="n">
        <v>1.07743838139598</v>
      </c>
    </row>
    <row r="178" customFormat="false" ht="15" hidden="false" customHeight="false" outlineLevel="0" collapsed="false">
      <c r="B178" s="32" t="n">
        <v>793074</v>
      </c>
      <c r="C178" s="13" t="n">
        <v>-3.10829861260994</v>
      </c>
      <c r="D178" s="13" t="n">
        <v>0.585062911992275</v>
      </c>
    </row>
    <row r="179" customFormat="false" ht="15" hidden="false" customHeight="false" outlineLevel="0" collapsed="false">
      <c r="B179" s="32" t="n">
        <v>796343</v>
      </c>
      <c r="C179" s="13" t="n">
        <v>-2.70391210815819</v>
      </c>
      <c r="D179" s="13" t="n">
        <v>0.398369990562266</v>
      </c>
    </row>
    <row r="180" customFormat="false" ht="15" hidden="false" customHeight="false" outlineLevel="0" collapsed="false">
      <c r="B180" s="32" t="n">
        <v>796505</v>
      </c>
      <c r="C180" s="13" t="n">
        <v>-2.79114857499693</v>
      </c>
      <c r="D180" s="13" t="n">
        <v>1.27045288736083</v>
      </c>
    </row>
    <row r="181" customFormat="false" ht="15" hidden="false" customHeight="false" outlineLevel="0" collapsed="false">
      <c r="B181" s="32" t="n">
        <v>797721</v>
      </c>
      <c r="C181" s="13" t="n">
        <v>-2.01785745315652</v>
      </c>
      <c r="D181" s="13" t="n">
        <v>1.13534461238292</v>
      </c>
    </row>
    <row r="182" customFormat="false" ht="15" hidden="false" customHeight="false" outlineLevel="0" collapsed="false">
      <c r="B182" s="32" t="n">
        <v>798081</v>
      </c>
      <c r="C182" s="13" t="n">
        <v>-2.38542255752891</v>
      </c>
      <c r="D182" s="13" t="n">
        <v>0.454355006275782</v>
      </c>
    </row>
    <row r="183" customFormat="false" ht="15" hidden="false" customHeight="false" outlineLevel="0" collapsed="false">
      <c r="B183" s="32" t="n">
        <v>798354</v>
      </c>
      <c r="C183" s="13" t="n">
        <v>-2.67173251000936</v>
      </c>
      <c r="D183" s="13" t="n">
        <v>1.89602890588813</v>
      </c>
    </row>
    <row r="184" customFormat="false" ht="15" hidden="false" customHeight="false" outlineLevel="0" collapsed="false">
      <c r="B184" s="32" t="n">
        <v>799167</v>
      </c>
      <c r="C184" s="13" t="n">
        <v>-3.03658108820367</v>
      </c>
      <c r="D184" s="13" t="n">
        <v>0.142760191437081</v>
      </c>
    </row>
    <row r="185" customFormat="false" ht="15" hidden="false" customHeight="false" outlineLevel="0" collapsed="false">
      <c r="B185" s="32" t="n">
        <v>799288</v>
      </c>
      <c r="C185" s="13" t="n">
        <v>-4.43201559438773</v>
      </c>
      <c r="D185" s="13" t="n">
        <v>1.21045821627861</v>
      </c>
    </row>
    <row r="186" customFormat="false" ht="15" hidden="false" customHeight="false" outlineLevel="0" collapsed="false">
      <c r="B186" s="32" t="n">
        <v>800240</v>
      </c>
      <c r="C186" s="13" t="n">
        <v>-2.79285450329532</v>
      </c>
      <c r="D186" s="13" t="n">
        <v>0.470560290417675</v>
      </c>
    </row>
    <row r="187" customFormat="false" ht="15" hidden="false" customHeight="false" outlineLevel="0" collapsed="false">
      <c r="B187" s="32" t="n">
        <v>807707</v>
      </c>
      <c r="C187" s="13" t="n">
        <v>-2.64274038954352</v>
      </c>
      <c r="D187" s="13" t="n">
        <v>0.483997601346542</v>
      </c>
    </row>
    <row r="188" customFormat="false" ht="15" hidden="false" customHeight="false" outlineLevel="0" collapsed="false">
      <c r="B188" s="32" t="n">
        <v>807863</v>
      </c>
      <c r="C188" s="13" t="n">
        <v>-2.58822930841033</v>
      </c>
      <c r="D188" s="13" t="n">
        <v>0.583247400224218</v>
      </c>
    </row>
    <row r="189" customFormat="false" ht="15" hidden="false" customHeight="false" outlineLevel="0" collapsed="false">
      <c r="B189" s="32" t="n">
        <v>808326</v>
      </c>
      <c r="C189" s="13" t="n">
        <v>-3.89086675692598</v>
      </c>
      <c r="D189" s="13" t="n">
        <v>1.50308785626892</v>
      </c>
    </row>
    <row r="190" customFormat="false" ht="15" hidden="false" customHeight="false" outlineLevel="0" collapsed="false">
      <c r="B190" s="32" t="n">
        <v>808439</v>
      </c>
      <c r="C190" s="13" t="n">
        <v>-2.19220908253739</v>
      </c>
      <c r="D190" s="13" t="n">
        <v>1.09915058740491</v>
      </c>
    </row>
    <row r="191" customFormat="false" ht="15" hidden="false" customHeight="false" outlineLevel="0" collapsed="false">
      <c r="B191" s="32" t="n">
        <v>810136</v>
      </c>
      <c r="C191" s="13" t="n">
        <v>-3.01055840795889</v>
      </c>
      <c r="D191" s="13" t="n">
        <v>0.152226610089972</v>
      </c>
    </row>
    <row r="192" customFormat="false" ht="15" hidden="false" customHeight="false" outlineLevel="0" collapsed="false">
      <c r="B192" s="32" t="n">
        <v>811596</v>
      </c>
      <c r="C192" s="13" t="n">
        <v>-2.91104122328799</v>
      </c>
      <c r="D192" s="13" t="n">
        <v>0.268730388208491</v>
      </c>
    </row>
    <row r="193" customFormat="false" ht="15" hidden="false" customHeight="false" outlineLevel="0" collapsed="false">
      <c r="B193" s="32" t="n">
        <v>812011</v>
      </c>
      <c r="C193" s="13" t="n">
        <v>-2.87665716029243</v>
      </c>
      <c r="D193" s="13" t="n">
        <v>0.252970514040604</v>
      </c>
    </row>
    <row r="194" customFormat="false" ht="15" hidden="false" customHeight="false" outlineLevel="0" collapsed="false">
      <c r="B194" s="32" t="n">
        <v>814586</v>
      </c>
      <c r="C194" s="13" t="n">
        <v>-2.8007323104267</v>
      </c>
      <c r="D194" s="13" t="n">
        <v>0.308164895473181</v>
      </c>
    </row>
    <row r="195" customFormat="false" ht="15" hidden="false" customHeight="false" outlineLevel="0" collapsed="false">
      <c r="B195" s="32" t="n">
        <v>818686</v>
      </c>
      <c r="C195" s="13" t="n">
        <v>-2.79403929107551</v>
      </c>
      <c r="D195" s="13" t="n">
        <v>0.455563952364378</v>
      </c>
    </row>
    <row r="196" customFormat="false" ht="15" hidden="false" customHeight="false" outlineLevel="0" collapsed="false">
      <c r="B196" s="32" t="n">
        <v>819793</v>
      </c>
      <c r="C196" s="13" t="n">
        <v>-2.23090939195121</v>
      </c>
      <c r="D196" s="13" t="n">
        <v>0.405182537065266</v>
      </c>
    </row>
    <row r="197" customFormat="false" ht="15" hidden="false" customHeight="false" outlineLevel="0" collapsed="false">
      <c r="B197" s="32" t="n">
        <v>820313</v>
      </c>
      <c r="C197" s="13" t="n">
        <v>-2.69266166500588</v>
      </c>
      <c r="D197" s="13" t="n">
        <v>0.560336564686801</v>
      </c>
    </row>
    <row r="198" customFormat="false" ht="15" hidden="false" customHeight="false" outlineLevel="0" collapsed="false">
      <c r="B198" s="32" t="n">
        <v>825542</v>
      </c>
      <c r="C198" s="13" t="n">
        <v>-3.62852184192264</v>
      </c>
      <c r="D198" s="13" t="n">
        <v>0.423514547157644</v>
      </c>
    </row>
    <row r="199" customFormat="false" ht="15" hidden="false" customHeight="false" outlineLevel="0" collapsed="false">
      <c r="B199" s="32" t="n">
        <v>827187</v>
      </c>
      <c r="C199" s="13" t="n">
        <v>-2.48040046069878</v>
      </c>
      <c r="D199" s="13" t="n">
        <v>1.43833442318522</v>
      </c>
    </row>
    <row r="200" customFormat="false" ht="15" hidden="false" customHeight="false" outlineLevel="0" collapsed="false">
      <c r="B200" s="32" t="n">
        <v>827876</v>
      </c>
      <c r="C200" s="13" t="n">
        <v>-3.50259447530346</v>
      </c>
      <c r="D200" s="13" t="n">
        <v>0.251468495540726</v>
      </c>
    </row>
    <row r="201" customFormat="false" ht="15" hidden="false" customHeight="false" outlineLevel="0" collapsed="false">
      <c r="B201" s="32" t="n">
        <v>831259</v>
      </c>
      <c r="C201" s="13" t="n">
        <v>-2.78200388046405</v>
      </c>
      <c r="D201" s="13" t="n">
        <v>0.181333011185577</v>
      </c>
    </row>
    <row r="202" customFormat="false" ht="15" hidden="false" customHeight="false" outlineLevel="0" collapsed="false">
      <c r="B202" s="32" t="n">
        <v>832101</v>
      </c>
      <c r="C202" s="13" t="n">
        <v>-2.56198047528961</v>
      </c>
      <c r="D202" s="13" t="n">
        <v>1.55215746908312</v>
      </c>
    </row>
    <row r="203" customFormat="false" ht="15" hidden="false" customHeight="false" outlineLevel="0" collapsed="false">
      <c r="B203" s="32" t="n">
        <v>835011</v>
      </c>
      <c r="C203" s="13" t="n">
        <v>-2.06303661399841</v>
      </c>
      <c r="D203" s="13" t="n">
        <v>1.6211906855735</v>
      </c>
    </row>
    <row r="204" customFormat="false" ht="15" hidden="false" customHeight="false" outlineLevel="0" collapsed="false">
      <c r="B204" s="32" t="n">
        <v>842633</v>
      </c>
      <c r="C204" s="13" t="n">
        <v>-2.44501460474063</v>
      </c>
      <c r="D204" s="13" t="n">
        <v>0.46676652786729</v>
      </c>
    </row>
    <row r="205" customFormat="false" ht="15" hidden="false" customHeight="false" outlineLevel="0" collapsed="false">
      <c r="B205" s="32" t="n">
        <v>849145</v>
      </c>
      <c r="C205" s="13" t="n">
        <v>-1.66096181710144</v>
      </c>
      <c r="D205" s="13" t="n">
        <v>0.708243843502246</v>
      </c>
    </row>
    <row r="206" customFormat="false" ht="15" hidden="false" customHeight="false" outlineLevel="0" collapsed="false">
      <c r="B206" s="32" t="n">
        <v>849399</v>
      </c>
      <c r="C206" s="13" t="n">
        <v>-2.89313887617186</v>
      </c>
      <c r="D206" s="13" t="n">
        <v>0.808641203184332</v>
      </c>
    </row>
    <row r="207" customFormat="false" ht="15" hidden="false" customHeight="false" outlineLevel="0" collapsed="false">
      <c r="B207" s="32" t="n">
        <v>850460</v>
      </c>
      <c r="C207" s="13" t="n">
        <v>-2.5511459974057</v>
      </c>
      <c r="D207" s="13" t="n">
        <v>0.658322008700175</v>
      </c>
    </row>
    <row r="208" customFormat="false" ht="15" hidden="false" customHeight="false" outlineLevel="0" collapsed="false">
      <c r="B208" s="32" t="n">
        <v>851205</v>
      </c>
      <c r="C208" s="13" t="n">
        <v>-2.48826101274379</v>
      </c>
      <c r="D208" s="13" t="n">
        <v>0.565042758456931</v>
      </c>
    </row>
    <row r="209" customFormat="false" ht="15" hidden="false" customHeight="false" outlineLevel="0" collapsed="false">
      <c r="B209" s="32" t="n">
        <v>851310</v>
      </c>
      <c r="C209" s="13" t="n">
        <v>-1.13748323408332</v>
      </c>
      <c r="D209" s="13" t="n">
        <v>0.555281673611844</v>
      </c>
    </row>
    <row r="210" customFormat="false" ht="15" hidden="false" customHeight="false" outlineLevel="0" collapsed="false">
      <c r="B210" s="32" t="n">
        <v>851520</v>
      </c>
      <c r="C210" s="13" t="n">
        <v>-2.66818545604208</v>
      </c>
      <c r="D210" s="13" t="n">
        <v>0.333104986743381</v>
      </c>
    </row>
    <row r="211" customFormat="false" ht="15" hidden="false" customHeight="false" outlineLevel="0" collapsed="false">
      <c r="B211" s="32" t="n">
        <v>854775</v>
      </c>
      <c r="C211" s="13" t="n">
        <v>-2.3130548048127</v>
      </c>
      <c r="D211" s="13" t="n">
        <v>0.66933850166037</v>
      </c>
    </row>
    <row r="212" customFormat="false" ht="15" hidden="false" customHeight="false" outlineLevel="0" collapsed="false">
      <c r="B212" s="32" t="n">
        <v>855658</v>
      </c>
      <c r="C212" s="13" t="n">
        <v>-2.22487632991511</v>
      </c>
      <c r="D212" s="13" t="n">
        <v>1.59132216626287</v>
      </c>
    </row>
    <row r="213" customFormat="false" ht="15" hidden="false" customHeight="false" outlineLevel="0" collapsed="false">
      <c r="B213" s="32" t="n">
        <v>856982</v>
      </c>
      <c r="C213" s="13" t="n">
        <v>-2.87965464032372</v>
      </c>
      <c r="D213" s="13" t="n">
        <v>0.780282981001097</v>
      </c>
    </row>
    <row r="214" customFormat="false" ht="15" hidden="false" customHeight="false" outlineLevel="0" collapsed="false">
      <c r="B214" s="32" t="n">
        <v>857005</v>
      </c>
      <c r="C214" s="13" t="n">
        <v>-2.52400046346362</v>
      </c>
      <c r="D214" s="13" t="n">
        <v>2.13454533492485</v>
      </c>
    </row>
    <row r="215" customFormat="false" ht="15" hidden="false" customHeight="false" outlineLevel="0" collapsed="false">
      <c r="B215" s="32" t="n">
        <v>858877</v>
      </c>
      <c r="C215" s="13" t="n">
        <v>-2.86981225827619</v>
      </c>
      <c r="D215" s="13" t="n">
        <v>1.50179203876254</v>
      </c>
    </row>
    <row r="216" customFormat="false" ht="15" hidden="false" customHeight="false" outlineLevel="0" collapsed="false">
      <c r="B216" s="32" t="n">
        <v>860731</v>
      </c>
      <c r="C216" s="13" t="n">
        <v>-2.60737412619436</v>
      </c>
      <c r="D216" s="13" t="n">
        <v>0.689791138875305</v>
      </c>
    </row>
    <row r="217" customFormat="false" ht="15" hidden="false" customHeight="false" outlineLevel="0" collapsed="false">
      <c r="B217" s="32" t="n">
        <v>864749</v>
      </c>
      <c r="C217" s="13" t="n">
        <v>-2.65652715629814</v>
      </c>
      <c r="D217" s="13" t="n">
        <v>1.98634645374504</v>
      </c>
    </row>
    <row r="218" customFormat="false" ht="15" hidden="false" customHeight="false" outlineLevel="0" collapsed="false">
      <c r="B218" s="32" t="n">
        <v>866273</v>
      </c>
      <c r="C218" s="13" t="n">
        <v>-3.81942261324958</v>
      </c>
      <c r="D218" s="13" t="n">
        <v>0.39733680189596</v>
      </c>
    </row>
    <row r="219" customFormat="false" ht="15" hidden="false" customHeight="false" outlineLevel="0" collapsed="false">
      <c r="B219" s="32" t="n">
        <v>866291</v>
      </c>
      <c r="C219" s="13" t="n">
        <v>-2.16634925350457</v>
      </c>
      <c r="D219" s="13" t="n">
        <v>0.536223339862027</v>
      </c>
    </row>
    <row r="220" customFormat="false" ht="15" hidden="false" customHeight="false" outlineLevel="0" collapsed="false">
      <c r="B220" s="32" t="n">
        <v>866374</v>
      </c>
      <c r="C220" s="13" t="n">
        <v>-2.62036946209709</v>
      </c>
      <c r="D220" s="13" t="n">
        <v>1.1839249659167</v>
      </c>
    </row>
    <row r="221" customFormat="false" ht="15" hidden="false" customHeight="false" outlineLevel="0" collapsed="false">
      <c r="B221" s="32" t="n">
        <v>866706</v>
      </c>
      <c r="C221" s="13" t="n">
        <v>-2.29424497007307</v>
      </c>
      <c r="D221" s="13" t="n">
        <v>1.77458293392468</v>
      </c>
    </row>
    <row r="222" customFormat="false" ht="15" hidden="false" customHeight="false" outlineLevel="0" collapsed="false">
      <c r="B222" s="32" t="n">
        <v>866829</v>
      </c>
      <c r="C222" s="13" t="n">
        <v>-2.91872385557056</v>
      </c>
      <c r="D222" s="13" t="n">
        <v>0.180017347430007</v>
      </c>
    </row>
    <row r="223" customFormat="false" ht="15" hidden="false" customHeight="false" outlineLevel="0" collapsed="false">
      <c r="B223" s="32" t="n">
        <v>868857</v>
      </c>
      <c r="C223" s="13" t="n">
        <v>-2.77253638541566</v>
      </c>
      <c r="D223" s="13" t="n">
        <v>1.5948508669168</v>
      </c>
    </row>
    <row r="224" customFormat="false" ht="15" hidden="false" customHeight="false" outlineLevel="0" collapsed="false">
      <c r="B224" s="32" t="n">
        <v>873303</v>
      </c>
      <c r="C224" s="13" t="n">
        <v>-1.76722033261531</v>
      </c>
      <c r="D224" s="13" t="n">
        <v>0.748270281357762</v>
      </c>
    </row>
    <row r="225" customFormat="false" ht="15" hidden="false" customHeight="false" outlineLevel="0" collapsed="false">
      <c r="B225" s="32" t="n">
        <v>874499</v>
      </c>
      <c r="C225" s="13" t="n">
        <v>0.576091595092279</v>
      </c>
      <c r="D225" s="13" t="n">
        <v>0.233678577090535</v>
      </c>
    </row>
    <row r="226" customFormat="false" ht="15" hidden="false" customHeight="false" outlineLevel="0" collapsed="false">
      <c r="B226" s="32" t="n">
        <v>874716</v>
      </c>
      <c r="C226" s="13" t="n">
        <v>-2.38017890247277</v>
      </c>
      <c r="D226" s="13" t="n">
        <v>0.436426511333221</v>
      </c>
    </row>
    <row r="227" customFormat="false" ht="15" hidden="false" customHeight="false" outlineLevel="0" collapsed="false">
      <c r="B227" s="32" t="n">
        <v>874866</v>
      </c>
      <c r="C227" s="13" t="n">
        <v>-2.63439081666867</v>
      </c>
      <c r="D227" s="13" t="n">
        <v>0.335297498732788</v>
      </c>
    </row>
    <row r="228" customFormat="false" ht="15" hidden="false" customHeight="false" outlineLevel="0" collapsed="false">
      <c r="B228" s="32" t="n">
        <v>875657</v>
      </c>
      <c r="C228" s="13" t="n">
        <v>-2.22134360518548</v>
      </c>
      <c r="D228" s="13" t="n">
        <v>0.561781131083609</v>
      </c>
    </row>
    <row r="229" customFormat="false" ht="15" hidden="false" customHeight="false" outlineLevel="0" collapsed="false">
      <c r="B229" s="32" t="n">
        <v>876523</v>
      </c>
      <c r="C229" s="13" t="n">
        <v>-2.2461282001346</v>
      </c>
      <c r="D229" s="13" t="n">
        <v>0.549624093109558</v>
      </c>
    </row>
    <row r="230" customFormat="false" ht="15" hidden="false" customHeight="false" outlineLevel="0" collapsed="false">
      <c r="B230" s="32" t="n">
        <v>876883</v>
      </c>
      <c r="C230" s="13" t="n">
        <v>-2.45240524492177</v>
      </c>
      <c r="D230" s="13" t="n">
        <v>0.664528923452208</v>
      </c>
    </row>
    <row r="231" customFormat="false" ht="15" hidden="false" customHeight="false" outlineLevel="0" collapsed="false">
      <c r="B231" s="32" t="n">
        <v>877212</v>
      </c>
      <c r="C231" s="13" t="n">
        <v>-2.5575004707744</v>
      </c>
      <c r="D231" s="13" t="n">
        <v>1.68418521844413</v>
      </c>
    </row>
    <row r="232" customFormat="false" ht="15" hidden="false" customHeight="false" outlineLevel="0" collapsed="false">
      <c r="B232" s="32" t="n">
        <v>880117</v>
      </c>
      <c r="C232" s="13" t="n">
        <v>-2.84322885656796</v>
      </c>
      <c r="D232" s="13" t="n">
        <v>0.431075886792915</v>
      </c>
    </row>
    <row r="233" customFormat="false" ht="15" hidden="false" customHeight="false" outlineLevel="0" collapsed="false">
      <c r="B233" s="32" t="n">
        <v>880631</v>
      </c>
      <c r="C233" s="13" t="n">
        <v>-2.21064527027639</v>
      </c>
      <c r="D233" s="13" t="n">
        <v>0.59519768447127</v>
      </c>
    </row>
    <row r="234" customFormat="false" ht="15" hidden="false" customHeight="false" outlineLevel="0" collapsed="false">
      <c r="B234" s="32" t="n">
        <v>882835</v>
      </c>
      <c r="C234" s="13" t="n">
        <v>-2.43032386335472</v>
      </c>
      <c r="D234" s="13" t="n">
        <v>0.877666419024324</v>
      </c>
    </row>
    <row r="235" customFormat="false" ht="15" hidden="false" customHeight="false" outlineLevel="0" collapsed="false">
      <c r="B235" s="32" t="n">
        <v>883241</v>
      </c>
      <c r="C235" s="13" t="n">
        <v>-2.61633736919961</v>
      </c>
      <c r="D235" s="13" t="n">
        <v>0.588280932069584</v>
      </c>
    </row>
    <row r="236" customFormat="false" ht="15" hidden="false" customHeight="false" outlineLevel="0" collapsed="false">
      <c r="B236" s="32" t="n">
        <v>884144</v>
      </c>
      <c r="C236" s="13" t="n">
        <v>-2.63816278068314</v>
      </c>
      <c r="D236" s="13" t="n">
        <v>0.668869733761586</v>
      </c>
    </row>
    <row r="237" customFormat="false" ht="15" hidden="false" customHeight="false" outlineLevel="0" collapsed="false">
      <c r="B237" s="32" t="n">
        <v>884219</v>
      </c>
      <c r="C237" s="13" t="n">
        <v>-3.54057795439475</v>
      </c>
      <c r="D237" s="13" t="n">
        <v>0.244523934085076</v>
      </c>
    </row>
    <row r="238" customFormat="false" ht="15" hidden="false" customHeight="false" outlineLevel="0" collapsed="false">
      <c r="B238" s="32" t="n">
        <v>884614</v>
      </c>
      <c r="C238" s="13" t="n">
        <v>-3.46615507809695</v>
      </c>
      <c r="D238" s="13" t="n">
        <v>0.692288664434724</v>
      </c>
    </row>
    <row r="239" customFormat="false" ht="15" hidden="false" customHeight="false" outlineLevel="0" collapsed="false">
      <c r="B239" s="32" t="n">
        <v>884624</v>
      </c>
      <c r="C239" s="13" t="n">
        <v>-2.50824676326837</v>
      </c>
      <c r="D239" s="13" t="n">
        <v>3.4576256582246</v>
      </c>
    </row>
    <row r="240" customFormat="false" ht="15" hidden="false" customHeight="false" outlineLevel="0" collapsed="false">
      <c r="B240" s="32" t="n">
        <v>885978</v>
      </c>
      <c r="C240" s="13" t="n">
        <v>-2.7122279310857</v>
      </c>
      <c r="D240" s="13" t="n">
        <v>1.52167849023541</v>
      </c>
    </row>
    <row r="241" customFormat="false" ht="15" hidden="false" customHeight="false" outlineLevel="0" collapsed="false">
      <c r="B241" s="32" t="n">
        <v>886128</v>
      </c>
      <c r="C241" s="13" t="n">
        <v>-1.19267936137009</v>
      </c>
      <c r="D241" s="13" t="n">
        <v>0.29558142116085</v>
      </c>
    </row>
    <row r="242" customFormat="false" ht="15" hidden="false" customHeight="false" outlineLevel="0" collapsed="false">
      <c r="B242" s="32" t="n">
        <v>886163</v>
      </c>
      <c r="C242" s="13" t="n">
        <v>-1.87622015912832</v>
      </c>
      <c r="D242" s="13" t="n">
        <v>0.645504232958362</v>
      </c>
    </row>
    <row r="243" customFormat="false" ht="15" hidden="false" customHeight="false" outlineLevel="0" collapsed="false">
      <c r="B243" s="32" t="n">
        <v>886206</v>
      </c>
      <c r="C243" s="13" t="n">
        <v>-2.81706258398885</v>
      </c>
      <c r="D243" s="13" t="n">
        <v>0.523871571953656</v>
      </c>
    </row>
    <row r="244" customFormat="false" ht="15" hidden="false" customHeight="false" outlineLevel="0" collapsed="false">
      <c r="B244" s="32" t="n">
        <v>886835</v>
      </c>
      <c r="C244" s="13" t="n">
        <v>-2.5387143909091</v>
      </c>
      <c r="D244" s="13" t="n">
        <v>0.323761507169899</v>
      </c>
    </row>
    <row r="245" customFormat="false" ht="15" hidden="false" customHeight="false" outlineLevel="0" collapsed="false">
      <c r="B245" s="32" t="n">
        <v>887936</v>
      </c>
      <c r="C245" s="13" t="n">
        <v>-2.17194585520467</v>
      </c>
      <c r="D245" s="13" t="n">
        <v>0.738844911198846</v>
      </c>
    </row>
    <row r="246" customFormat="false" ht="15" hidden="false" customHeight="false" outlineLevel="0" collapsed="false">
      <c r="B246" s="32" t="n">
        <v>889900</v>
      </c>
      <c r="C246" s="13" t="n">
        <v>5.58989408085648</v>
      </c>
      <c r="D246" s="13" t="n">
        <v>0.618867199075284</v>
      </c>
    </row>
    <row r="247" customFormat="false" ht="15" hidden="false" customHeight="false" outlineLevel="0" collapsed="false">
      <c r="B247" s="32" t="n">
        <v>890564</v>
      </c>
      <c r="C247" s="13" t="n">
        <v>-2.87466076631929</v>
      </c>
      <c r="D247" s="13" t="n">
        <v>1.61322504171339</v>
      </c>
    </row>
    <row r="248" customFormat="false" ht="15" hidden="false" customHeight="false" outlineLevel="0" collapsed="false">
      <c r="B248" s="32" t="n">
        <v>891014</v>
      </c>
      <c r="C248" s="13" t="n">
        <v>-2.73317778225437</v>
      </c>
      <c r="D248" s="13" t="n">
        <v>0.339370629614187</v>
      </c>
    </row>
    <row r="249" customFormat="false" ht="15" hidden="false" customHeight="false" outlineLevel="0" collapsed="false">
      <c r="B249" s="32" t="n">
        <v>893691</v>
      </c>
      <c r="C249" s="13" t="n">
        <v>-2.80126915233914</v>
      </c>
      <c r="D249" s="13" t="n">
        <v>1.14256705743137</v>
      </c>
    </row>
    <row r="250" customFormat="false" ht="15" hidden="false" customHeight="false" outlineLevel="0" collapsed="false">
      <c r="B250" s="32" t="n">
        <v>894627</v>
      </c>
      <c r="C250" s="13" t="n">
        <v>-3.5116603334397</v>
      </c>
      <c r="D250" s="13" t="n">
        <v>0.506420019444493</v>
      </c>
    </row>
    <row r="251" customFormat="false" ht="15" hidden="false" customHeight="false" outlineLevel="0" collapsed="false">
      <c r="B251" s="32" t="n">
        <v>894871</v>
      </c>
      <c r="C251" s="13" t="n">
        <v>-8.39166114518056</v>
      </c>
      <c r="D251" s="13" t="n">
        <v>270.270269956823</v>
      </c>
    </row>
    <row r="252" customFormat="false" ht="15" hidden="false" customHeight="false" outlineLevel="0" collapsed="false">
      <c r="B252" s="32" t="n">
        <v>895126</v>
      </c>
      <c r="C252" s="13" t="n">
        <v>-2.9236698781843</v>
      </c>
      <c r="D252" s="13" t="n">
        <v>0.166478334677879</v>
      </c>
    </row>
    <row r="253" customFormat="false" ht="15" hidden="false" customHeight="false" outlineLevel="0" collapsed="false">
      <c r="B253" s="32" t="n">
        <v>895447</v>
      </c>
      <c r="C253" s="13" t="n">
        <v>-2.77781274776111</v>
      </c>
      <c r="D253" s="13" t="n">
        <v>1.20993574694478</v>
      </c>
    </row>
    <row r="254" customFormat="false" ht="15" hidden="false" customHeight="false" outlineLevel="0" collapsed="false">
      <c r="B254" s="32" t="n">
        <v>896156</v>
      </c>
      <c r="C254" s="13" t="n">
        <v>-2.67544783541586</v>
      </c>
      <c r="D254" s="13" t="n">
        <v>0.351839423289787</v>
      </c>
    </row>
    <row r="255" customFormat="false" ht="15" hidden="false" customHeight="false" outlineLevel="0" collapsed="false">
      <c r="B255" s="32" t="n">
        <v>896262</v>
      </c>
      <c r="C255" s="13" t="n">
        <v>-2.73681696713075</v>
      </c>
      <c r="D255" s="13" t="n">
        <v>0.61490894521323</v>
      </c>
    </row>
    <row r="256" customFormat="false" ht="15" hidden="false" customHeight="false" outlineLevel="0" collapsed="false">
      <c r="B256" s="32" t="n">
        <v>896429</v>
      </c>
      <c r="C256" s="13" t="n">
        <v>-2.81472558089809</v>
      </c>
      <c r="D256" s="13" t="n">
        <v>1.34574950316807</v>
      </c>
    </row>
    <row r="257" customFormat="false" ht="15" hidden="false" customHeight="false" outlineLevel="0" collapsed="false">
      <c r="B257" s="32" t="n">
        <v>897448</v>
      </c>
      <c r="C257" s="13" t="n">
        <v>-2.85193689082961</v>
      </c>
      <c r="D257" s="13" t="n">
        <v>0.428639205688798</v>
      </c>
    </row>
    <row r="258" customFormat="false" ht="15" hidden="false" customHeight="false" outlineLevel="0" collapsed="false">
      <c r="B258" s="32" t="n">
        <v>899460</v>
      </c>
      <c r="C258" s="13" t="n">
        <v>-2.56959372582388</v>
      </c>
      <c r="D258" s="13" t="n">
        <v>0.135028708523369</v>
      </c>
    </row>
    <row r="259" customFormat="false" ht="15" hidden="false" customHeight="false" outlineLevel="0" collapsed="false">
      <c r="B259" s="32" t="n">
        <v>899923</v>
      </c>
      <c r="C259" s="13" t="n">
        <v>-3.16602951525643</v>
      </c>
      <c r="D259" s="13" t="n">
        <v>0.498707025475286</v>
      </c>
    </row>
    <row r="260" customFormat="false" ht="15" hidden="false" customHeight="false" outlineLevel="0" collapsed="false">
      <c r="B260" s="32" t="n">
        <v>901491</v>
      </c>
      <c r="C260" s="13" t="n">
        <v>-3.14435340338813</v>
      </c>
      <c r="D260" s="13" t="n">
        <v>0.297578182401153</v>
      </c>
    </row>
    <row r="261" customFormat="false" ht="15" hidden="false" customHeight="false" outlineLevel="0" collapsed="false">
      <c r="B261" s="32" t="n">
        <v>903651</v>
      </c>
      <c r="C261" s="13" t="n">
        <v>-2.49594037672873</v>
      </c>
      <c r="D261" s="13" t="n">
        <v>0.460725588852749</v>
      </c>
    </row>
    <row r="262" customFormat="false" ht="15" hidden="false" customHeight="false" outlineLevel="0" collapsed="false">
      <c r="B262" s="32" t="n">
        <v>906709</v>
      </c>
      <c r="C262" s="13" t="n">
        <v>-4.34204736006211</v>
      </c>
      <c r="D262" s="13" t="n">
        <v>0.446247203467651</v>
      </c>
    </row>
    <row r="263" customFormat="false" ht="15" hidden="false" customHeight="false" outlineLevel="0" collapsed="false">
      <c r="B263" s="32" t="n">
        <v>908937</v>
      </c>
      <c r="C263" s="13" t="n">
        <v>-2.25798262558583</v>
      </c>
      <c r="D263" s="13" t="n">
        <v>3.572138134252</v>
      </c>
    </row>
    <row r="264" customFormat="false" ht="15" hidden="false" customHeight="false" outlineLevel="0" collapsed="false">
      <c r="B264" s="32" t="n">
        <v>910638</v>
      </c>
      <c r="C264" s="13" t="n">
        <v>-3.8311033006784</v>
      </c>
      <c r="D264" s="13" t="n">
        <v>0.343030963696882</v>
      </c>
    </row>
    <row r="265" customFormat="false" ht="15" hidden="false" customHeight="false" outlineLevel="0" collapsed="false">
      <c r="B265" s="32" t="n">
        <v>911971</v>
      </c>
      <c r="C265" s="13" t="n">
        <v>-3.71615243954982</v>
      </c>
      <c r="D265" s="13" t="n">
        <v>0.616848521779305</v>
      </c>
    </row>
    <row r="266" customFormat="false" ht="15" hidden="false" customHeight="false" outlineLevel="0" collapsed="false">
      <c r="B266" s="32" t="n">
        <v>912603</v>
      </c>
      <c r="C266" s="13" t="n">
        <v>-2.93766780265989</v>
      </c>
      <c r="D266" s="13" t="n">
        <v>0.871959882597031</v>
      </c>
    </row>
    <row r="267" customFormat="false" ht="15" hidden="false" customHeight="false" outlineLevel="0" collapsed="false">
      <c r="B267" s="32" t="n">
        <v>912615</v>
      </c>
      <c r="C267" s="13" t="n">
        <v>-2.78539389599858</v>
      </c>
      <c r="D267" s="13" t="n">
        <v>0.374940834988068</v>
      </c>
    </row>
    <row r="268" customFormat="false" ht="15" hidden="false" customHeight="false" outlineLevel="0" collapsed="false">
      <c r="B268" s="32" t="n">
        <v>913241</v>
      </c>
      <c r="C268" s="13" t="n">
        <v>-2.99862214669966</v>
      </c>
      <c r="D268" s="13" t="n">
        <v>0.53435431884306</v>
      </c>
    </row>
    <row r="269" customFormat="false" ht="15" hidden="false" customHeight="false" outlineLevel="0" collapsed="false">
      <c r="B269" s="32" t="n">
        <v>913277</v>
      </c>
      <c r="C269" s="13" t="n">
        <v>-2.73970722701074</v>
      </c>
      <c r="D269" s="13" t="n">
        <v>0.628911474712854</v>
      </c>
    </row>
    <row r="270" customFormat="false" ht="15" hidden="false" customHeight="false" outlineLevel="0" collapsed="false">
      <c r="B270" s="32" t="n">
        <v>914475</v>
      </c>
      <c r="C270" s="13" t="n">
        <v>-2.26131182520297</v>
      </c>
      <c r="D270" s="13" t="n">
        <v>2.19370800493917</v>
      </c>
    </row>
    <row r="271" customFormat="false" ht="15" hidden="false" customHeight="false" outlineLevel="0" collapsed="false">
      <c r="B271" s="32" t="n">
        <v>915389</v>
      </c>
      <c r="C271" s="13" t="n">
        <v>-2.82180407212574</v>
      </c>
      <c r="D271" s="13" t="n">
        <v>0.843881742180258</v>
      </c>
    </row>
    <row r="272" customFormat="false" ht="15" hidden="false" customHeight="false" outlineLevel="0" collapsed="false">
      <c r="B272" s="32" t="n">
        <v>916076</v>
      </c>
      <c r="C272" s="13" t="n">
        <v>-2.78920193632278</v>
      </c>
      <c r="D272" s="13" t="n">
        <v>0.268416527509551</v>
      </c>
    </row>
    <row r="273" customFormat="false" ht="15" hidden="false" customHeight="false" outlineLevel="0" collapsed="false">
      <c r="B273" s="32" t="n">
        <v>916789</v>
      </c>
      <c r="C273" s="13" t="n">
        <v>-2.77074165459536</v>
      </c>
      <c r="D273" s="13" t="n">
        <v>1.52355861804556</v>
      </c>
    </row>
    <row r="274" customFormat="false" ht="15" hidden="false" customHeight="false" outlineLevel="0" collapsed="false">
      <c r="B274" s="32" t="n">
        <v>916793</v>
      </c>
      <c r="C274" s="13" t="n">
        <v>-3.93433155597855</v>
      </c>
      <c r="D274" s="13" t="n">
        <v>0.305207362233452</v>
      </c>
    </row>
    <row r="275" customFormat="false" ht="15" hidden="false" customHeight="false" outlineLevel="0" collapsed="false">
      <c r="B275" s="32" t="n">
        <v>917491</v>
      </c>
      <c r="C275" s="13" t="n">
        <v>-2.99433091228718</v>
      </c>
      <c r="D275" s="13" t="n">
        <v>0.452236126087432</v>
      </c>
    </row>
    <row r="276" customFormat="false" ht="15" hidden="false" customHeight="false" outlineLevel="0" collapsed="false">
      <c r="B276" s="32" t="n">
        <v>917520</v>
      </c>
      <c r="C276" s="13" t="n">
        <v>-2.53332337206314</v>
      </c>
      <c r="D276" s="13" t="n">
        <v>0.549020224053731</v>
      </c>
    </row>
    <row r="277" customFormat="false" ht="15" hidden="false" customHeight="false" outlineLevel="0" collapsed="false">
      <c r="B277" s="32" t="n">
        <v>918251</v>
      </c>
      <c r="C277" s="13" t="n">
        <v>-2.75165475029792</v>
      </c>
      <c r="D277" s="13" t="n">
        <v>0.703236906456723</v>
      </c>
    </row>
    <row r="278" customFormat="false" ht="15" hidden="false" customHeight="false" outlineLevel="0" collapsed="false">
      <c r="B278" s="32" t="n">
        <v>918646</v>
      </c>
      <c r="C278" s="13" t="n">
        <v>-2.52146553043233</v>
      </c>
      <c r="D278" s="13" t="n">
        <v>0.253127079965666</v>
      </c>
    </row>
    <row r="279" customFormat="false" ht="15" hidden="false" customHeight="false" outlineLevel="0" collapsed="false">
      <c r="B279" s="32" t="n">
        <v>920148</v>
      </c>
      <c r="C279" s="13" t="n">
        <v>-2.67141743367477</v>
      </c>
      <c r="D279" s="13" t="n">
        <v>0.459428681801815</v>
      </c>
    </row>
    <row r="280" customFormat="false" ht="15" hidden="false" customHeight="false" outlineLevel="0" collapsed="false">
      <c r="B280" s="32" t="n">
        <v>920371</v>
      </c>
      <c r="C280" s="13" t="n">
        <v>-2.60425403118766</v>
      </c>
      <c r="D280" s="13" t="n">
        <v>0.430004658947931</v>
      </c>
    </row>
    <row r="281" customFormat="false" ht="15" hidden="false" customHeight="false" outlineLevel="0" collapsed="false">
      <c r="B281" s="32" t="n">
        <v>921738</v>
      </c>
      <c r="C281" s="13" t="n">
        <v>-2.51047461256789</v>
      </c>
      <c r="D281" s="13" t="n">
        <v>0.437732656810636</v>
      </c>
    </row>
    <row r="282" customFormat="false" ht="15" hidden="false" customHeight="false" outlineLevel="0" collapsed="false">
      <c r="B282" s="32" t="n">
        <v>924717</v>
      </c>
      <c r="C282" s="13" t="n">
        <v>-2.33209232893633</v>
      </c>
      <c r="D282" s="13" t="n">
        <v>1.25467996287545</v>
      </c>
    </row>
    <row r="283" customFormat="false" ht="15" hidden="false" customHeight="false" outlineLevel="0" collapsed="false">
      <c r="B283" s="32" t="n">
        <v>925528</v>
      </c>
      <c r="C283" s="13" t="n">
        <v>-2.13890699448059</v>
      </c>
      <c r="D283" s="13" t="n">
        <v>2.47381545332959</v>
      </c>
    </row>
    <row r="284" customFormat="false" ht="15" hidden="false" customHeight="false" outlineLevel="0" collapsed="false">
      <c r="B284" s="32" t="n">
        <v>926282</v>
      </c>
      <c r="C284" s="13" t="n">
        <v>-3.19874111503346</v>
      </c>
      <c r="D284" s="13" t="n">
        <v>0.545743827071985</v>
      </c>
    </row>
    <row r="285" customFormat="false" ht="15" hidden="false" customHeight="false" outlineLevel="0" collapsed="false">
      <c r="B285" s="32" t="n">
        <v>927003</v>
      </c>
      <c r="C285" s="13" t="n">
        <v>-2.8559149374406</v>
      </c>
      <c r="D285" s="13" t="n">
        <v>0.229651557133857</v>
      </c>
    </row>
    <row r="286" customFormat="false" ht="15" hidden="false" customHeight="false" outlineLevel="0" collapsed="false">
      <c r="B286" s="32" t="n">
        <v>927066</v>
      </c>
      <c r="C286" s="13" t="n">
        <v>-2.8480184218398</v>
      </c>
      <c r="D286" s="13" t="n">
        <v>1.35827296553913</v>
      </c>
    </row>
    <row r="287" customFormat="false" ht="15" hidden="false" customHeight="false" outlineLevel="0" collapsed="false">
      <c r="B287" s="32" t="n">
        <v>928340</v>
      </c>
      <c r="C287" s="13" t="n">
        <v>-1.48406675088362</v>
      </c>
      <c r="D287" s="13" t="n">
        <v>0.400261261268586</v>
      </c>
    </row>
    <row r="288" customFormat="false" ht="15" hidden="false" customHeight="false" outlineLevel="0" collapsed="false">
      <c r="B288" s="32" t="n">
        <v>928876</v>
      </c>
      <c r="C288" s="13" t="n">
        <v>-2.69531886792253</v>
      </c>
      <c r="D288" s="13" t="n">
        <v>0.838071458212438</v>
      </c>
    </row>
    <row r="289" customFormat="false" ht="15" hidden="false" customHeight="false" outlineLevel="0" collapsed="false">
      <c r="B289" s="32" t="n">
        <v>930420</v>
      </c>
      <c r="C289" s="13" t="n">
        <v>-2.89554061830163</v>
      </c>
      <c r="D289" s="13" t="n">
        <v>0.512344106175762</v>
      </c>
    </row>
    <row r="290" customFormat="false" ht="15" hidden="false" customHeight="false" outlineLevel="0" collapsed="false">
      <c r="B290" s="32" t="n">
        <v>931015</v>
      </c>
      <c r="C290" s="13" t="n">
        <v>-2.70593298402403</v>
      </c>
      <c r="D290" s="13" t="n">
        <v>1.16779887950336</v>
      </c>
    </row>
    <row r="291" customFormat="false" ht="15" hidden="false" customHeight="false" outlineLevel="0" collapsed="false">
      <c r="B291" s="32" t="n">
        <v>931584</v>
      </c>
      <c r="C291" s="13" t="n">
        <v>-2.93032464141898</v>
      </c>
      <c r="D291" s="13" t="n">
        <v>0.326410076835905</v>
      </c>
    </row>
    <row r="292" customFormat="false" ht="15" hidden="false" customHeight="false" outlineLevel="0" collapsed="false">
      <c r="B292" s="32" t="n">
        <v>932696</v>
      </c>
      <c r="C292" s="13" t="n">
        <v>-2.54516016602463</v>
      </c>
      <c r="D292" s="13" t="n">
        <v>0.691963315442716</v>
      </c>
    </row>
    <row r="293" customFormat="false" ht="15" hidden="false" customHeight="false" outlineLevel="0" collapsed="false">
      <c r="B293" s="32" t="n">
        <v>932787</v>
      </c>
      <c r="C293" s="13" t="n">
        <v>-2.93414165477339</v>
      </c>
      <c r="D293" s="13" t="n">
        <v>0.795273920482715</v>
      </c>
    </row>
    <row r="294" customFormat="false" ht="15" hidden="false" customHeight="false" outlineLevel="0" collapsed="false">
      <c r="B294" s="32" t="n">
        <v>934549</v>
      </c>
      <c r="C294" s="13" t="n">
        <v>2.6329860354708</v>
      </c>
      <c r="D294" s="13" t="n">
        <v>0.355522630904151</v>
      </c>
    </row>
    <row r="295" customFormat="false" ht="15" hidden="false" customHeight="false" outlineLevel="0" collapsed="false">
      <c r="B295" s="32" t="n">
        <v>934612</v>
      </c>
      <c r="C295" s="13" t="n">
        <v>-2.55167583889954</v>
      </c>
      <c r="D295" s="13" t="n">
        <v>0.419132264653882</v>
      </c>
    </row>
    <row r="296" customFormat="false" ht="15" hidden="false" customHeight="false" outlineLevel="0" collapsed="false">
      <c r="B296" s="32" t="n">
        <v>935036</v>
      </c>
      <c r="C296" s="13" t="n">
        <v>-2.47036816755865</v>
      </c>
      <c r="D296" s="13" t="n">
        <v>1.94564412737546</v>
      </c>
    </row>
    <row r="297" customFormat="false" ht="15" hidden="false" customHeight="false" outlineLevel="0" collapsed="false">
      <c r="B297" s="32" t="n">
        <v>935419</v>
      </c>
      <c r="C297" s="13" t="n">
        <v>-2.35816709970771</v>
      </c>
      <c r="D297" s="13" t="n">
        <v>0.872656855658355</v>
      </c>
    </row>
    <row r="298" customFormat="false" ht="15" hidden="false" customHeight="false" outlineLevel="0" collapsed="false">
      <c r="B298" s="32" t="n">
        <v>937098</v>
      </c>
      <c r="C298" s="13" t="n">
        <v>-2.87454338848125</v>
      </c>
      <c r="D298" s="13" t="n">
        <v>1.50530072502842</v>
      </c>
    </row>
    <row r="299" customFormat="false" ht="15" hidden="false" customHeight="false" outlineLevel="0" collapsed="false">
      <c r="B299" s="32" t="n">
        <v>937556</v>
      </c>
      <c r="C299" s="13" t="n">
        <v>-2.86839397582405</v>
      </c>
      <c r="D299" s="13" t="n">
        <v>0.430241051147569</v>
      </c>
    </row>
    <row r="300" customFormat="false" ht="15" hidden="false" customHeight="false" outlineLevel="0" collapsed="false">
      <c r="B300" s="32" t="n">
        <v>943819</v>
      </c>
      <c r="C300" s="13" t="n">
        <v>-2.24720104585113</v>
      </c>
      <c r="D300" s="13" t="n">
        <v>1.88285836986647</v>
      </c>
    </row>
    <row r="301" customFormat="false" ht="15" hidden="false" customHeight="false" outlineLevel="0" collapsed="false">
      <c r="B301" s="32" t="n">
        <v>944148</v>
      </c>
      <c r="C301" s="13" t="n">
        <v>-2.34888970068053</v>
      </c>
      <c r="D301" s="13" t="n">
        <v>0.768008374621584</v>
      </c>
    </row>
    <row r="302" customFormat="false" ht="15" hidden="false" customHeight="false" outlineLevel="0" collapsed="false">
      <c r="B302" s="32" t="n">
        <v>944809</v>
      </c>
      <c r="C302" s="13" t="n">
        <v>-441.793801170709</v>
      </c>
      <c r="D302" s="13" t="n">
        <v>1.3281233851704E-022</v>
      </c>
    </row>
    <row r="303" customFormat="false" ht="15" hidden="false" customHeight="false" outlineLevel="0" collapsed="false">
      <c r="B303" s="32" t="n">
        <v>945114</v>
      </c>
      <c r="C303" s="13" t="n">
        <v>-2.54961532963629</v>
      </c>
      <c r="D303" s="13" t="n">
        <v>1.9273366089485</v>
      </c>
    </row>
    <row r="304" customFormat="false" ht="15" hidden="false" customHeight="false" outlineLevel="0" collapsed="false">
      <c r="B304" s="32" t="n">
        <v>945983</v>
      </c>
      <c r="C304" s="13" t="n">
        <v>-2.56843846144432</v>
      </c>
      <c r="D304" s="13" t="n">
        <v>1.02924479858811</v>
      </c>
    </row>
    <row r="305" customFormat="false" ht="15" hidden="false" customHeight="false" outlineLevel="0" collapsed="false">
      <c r="B305" s="32" t="n">
        <v>946581</v>
      </c>
      <c r="C305" s="13" t="n">
        <v>-4.05455367934554</v>
      </c>
      <c r="D305" s="13" t="n">
        <v>1.83517072134163</v>
      </c>
    </row>
    <row r="306" customFormat="false" ht="15" hidden="false" customHeight="false" outlineLevel="0" collapsed="false">
      <c r="B306" s="32" t="n">
        <v>948320</v>
      </c>
      <c r="C306" s="13" t="n">
        <v>-0.917428126137202</v>
      </c>
      <c r="D306" s="13" t="n">
        <v>0.132249910563937</v>
      </c>
    </row>
    <row r="307" customFormat="false" ht="15" hidden="false" customHeight="false" outlineLevel="0" collapsed="false">
      <c r="B307" s="32" t="n">
        <v>949870</v>
      </c>
      <c r="C307" s="13" t="n">
        <v>-3.03381639292504</v>
      </c>
      <c r="D307" s="13" t="n">
        <v>0.182801977172249</v>
      </c>
    </row>
    <row r="308" customFormat="false" ht="15" hidden="false" customHeight="false" outlineLevel="0" collapsed="false">
      <c r="B308" s="32" t="n">
        <v>1000623</v>
      </c>
      <c r="C308" s="13" t="n">
        <v>-3.17458735571723</v>
      </c>
      <c r="D308" s="13" t="n">
        <v>1.16429281149139</v>
      </c>
    </row>
    <row r="309" customFormat="false" ht="15" hidden="false" customHeight="false" outlineLevel="0" collapsed="false">
      <c r="B309" s="32" t="n">
        <v>1000697</v>
      </c>
      <c r="C309" s="13" t="n">
        <v>-2.2115782499563</v>
      </c>
      <c r="D309" s="13" t="n">
        <v>1.6155256779203</v>
      </c>
    </row>
    <row r="310" customFormat="false" ht="15" hidden="false" customHeight="false" outlineLevel="0" collapsed="false">
      <c r="B310" s="32" t="n">
        <v>1001115</v>
      </c>
      <c r="C310" s="13" t="n">
        <v>-2.37421166410852</v>
      </c>
      <c r="D310" s="13" t="n">
        <v>0.542429317117798</v>
      </c>
    </row>
    <row r="311" customFormat="false" ht="15" hidden="false" customHeight="false" outlineLevel="0" collapsed="false">
      <c r="B311" s="32" t="n">
        <v>1001233</v>
      </c>
      <c r="C311" s="13" t="n">
        <v>-3.97832704644753</v>
      </c>
      <c r="D311" s="13" t="n">
        <v>0.968614433835501</v>
      </c>
    </row>
    <row r="312" customFormat="false" ht="15" hidden="false" customHeight="false" outlineLevel="0" collapsed="false">
      <c r="B312" s="32" t="n">
        <v>1001316</v>
      </c>
      <c r="C312" s="13" t="n">
        <v>72.0059617529352</v>
      </c>
      <c r="D312" s="13" t="n">
        <v>3.16859202900698</v>
      </c>
    </row>
    <row r="313" customFormat="false" ht="15" hidden="false" customHeight="false" outlineLevel="0" collapsed="false">
      <c r="B313" s="32" t="n">
        <v>1001614</v>
      </c>
      <c r="C313" s="13" t="n">
        <v>-2.8913911697654</v>
      </c>
      <c r="D313" s="13" t="n">
        <v>0.86549830548725</v>
      </c>
    </row>
    <row r="314" customFormat="false" ht="15" hidden="false" customHeight="false" outlineLevel="0" collapsed="false">
      <c r="B314" s="32" t="n">
        <v>1002047</v>
      </c>
      <c r="C314" s="13" t="n">
        <v>-2.88436001786016</v>
      </c>
      <c r="D314" s="13" t="n">
        <v>0.460862089358532</v>
      </c>
    </row>
    <row r="315" customFormat="false" ht="15" hidden="false" customHeight="false" outlineLevel="0" collapsed="false">
      <c r="B315" s="32" t="n">
        <v>1003078</v>
      </c>
      <c r="C315" s="13" t="n">
        <v>-3.2827718836715</v>
      </c>
      <c r="D315" s="13" t="n">
        <v>0.436560695461647</v>
      </c>
    </row>
    <row r="316" customFormat="false" ht="15" hidden="false" customHeight="false" outlineLevel="0" collapsed="false">
      <c r="B316" s="32" t="n">
        <v>1005210</v>
      </c>
      <c r="C316" s="13" t="n">
        <v>-2.83977409952284</v>
      </c>
      <c r="D316" s="13" t="n">
        <v>0.415312139132618</v>
      </c>
    </row>
    <row r="317" customFormat="false" ht="15" hidden="false" customHeight="false" outlineLevel="0" collapsed="false">
      <c r="B317" s="32" t="n">
        <v>1005284</v>
      </c>
      <c r="C317" s="13" t="n">
        <v>-1.69880310598732</v>
      </c>
      <c r="D317" s="13" t="n">
        <v>1.69921814291842</v>
      </c>
    </row>
    <row r="318" customFormat="false" ht="15" hidden="false" customHeight="false" outlineLevel="0" collapsed="false">
      <c r="B318" s="32" t="n">
        <v>1005757</v>
      </c>
      <c r="C318" s="13" t="n">
        <v>-2.75752431328917</v>
      </c>
      <c r="D318" s="13" t="n">
        <v>1.33668033552024</v>
      </c>
    </row>
    <row r="319" customFormat="false" ht="15" hidden="false" customHeight="false" outlineLevel="0" collapsed="false">
      <c r="B319" s="32" t="n">
        <v>1006281</v>
      </c>
      <c r="C319" s="13" t="n">
        <v>-1.78003555026354</v>
      </c>
      <c r="D319" s="13" t="n">
        <v>1.30779842192979</v>
      </c>
    </row>
    <row r="320" customFormat="false" ht="15" hidden="false" customHeight="false" outlineLevel="0" collapsed="false">
      <c r="B320" s="32" t="n">
        <v>1007587</v>
      </c>
      <c r="C320" s="13" t="n">
        <v>-3.14390063382438</v>
      </c>
      <c r="D320" s="13" t="n">
        <v>0.351589431557119</v>
      </c>
    </row>
    <row r="321" customFormat="false" ht="15" hidden="false" customHeight="false" outlineLevel="0" collapsed="false">
      <c r="B321" s="32" t="n">
        <v>1009829</v>
      </c>
      <c r="C321" s="13" t="n">
        <v>443.96275949413</v>
      </c>
      <c r="D321" s="13" t="n">
        <v>2.94783475436436E-039</v>
      </c>
    </row>
    <row r="322" customFormat="false" ht="15" hidden="false" customHeight="false" outlineLevel="0" collapsed="false">
      <c r="B322" s="32" t="n">
        <v>1009891</v>
      </c>
      <c r="C322" s="13" t="n">
        <v>-3.20711874494736</v>
      </c>
      <c r="D322" s="13" t="n">
        <v>0.453274262112578</v>
      </c>
    </row>
    <row r="323" customFormat="false" ht="15" hidden="false" customHeight="false" outlineLevel="0" collapsed="false">
      <c r="B323" s="32" t="n">
        <v>1010086</v>
      </c>
      <c r="C323" s="13" t="n">
        <v>-3.35946081957091</v>
      </c>
      <c r="D323" s="13" t="n">
        <v>0.160260871553952</v>
      </c>
    </row>
    <row r="324" customFormat="false" ht="15" hidden="false" customHeight="false" outlineLevel="0" collapsed="false">
      <c r="B324" s="32" t="n">
        <v>1010134</v>
      </c>
      <c r="C324" s="13" t="n">
        <v>-2.28273549187479</v>
      </c>
      <c r="D324" s="13" t="n">
        <v>0.500677179698654</v>
      </c>
    </row>
    <row r="325" customFormat="false" ht="15" hidden="false" customHeight="false" outlineLevel="0" collapsed="false">
      <c r="B325" s="32" t="n">
        <v>1012100</v>
      </c>
      <c r="C325" s="13" t="n">
        <v>-2.62467907376772</v>
      </c>
      <c r="D325" s="13" t="n">
        <v>1.24015183350258</v>
      </c>
    </row>
    <row r="326" customFormat="false" ht="15" hidden="false" customHeight="false" outlineLevel="0" collapsed="false">
      <c r="B326" s="32" t="n">
        <v>1013237</v>
      </c>
      <c r="C326" s="13" t="n">
        <v>-2.58736143693287</v>
      </c>
      <c r="D326" s="13" t="n">
        <v>0.627301305909878</v>
      </c>
    </row>
    <row r="327" customFormat="false" ht="15" hidden="false" customHeight="false" outlineLevel="0" collapsed="false">
      <c r="B327" s="32" t="n">
        <v>1013857</v>
      </c>
      <c r="C327" s="13" t="n">
        <v>-2.860180901957</v>
      </c>
      <c r="D327" s="13" t="n">
        <v>0.464373755880521</v>
      </c>
    </row>
    <row r="328" customFormat="false" ht="15" hidden="false" customHeight="false" outlineLevel="0" collapsed="false">
      <c r="B328" s="32" t="n">
        <v>1013934</v>
      </c>
      <c r="C328" s="13" t="n">
        <v>-2.36617892231035</v>
      </c>
      <c r="D328" s="13" t="n">
        <v>0.579325641387549</v>
      </c>
    </row>
    <row r="329" customFormat="false" ht="15" hidden="false" customHeight="false" outlineLevel="0" collapsed="false">
      <c r="B329" s="32" t="n">
        <v>1014473</v>
      </c>
      <c r="C329" s="13" t="n">
        <v>-2.5256352039955</v>
      </c>
      <c r="D329" s="13" t="n">
        <v>0.410278662582867</v>
      </c>
    </row>
    <row r="330" customFormat="false" ht="15" hidden="false" customHeight="false" outlineLevel="0" collapsed="false">
      <c r="B330" s="32" t="n">
        <v>1014739</v>
      </c>
      <c r="C330" s="13" t="n">
        <v>-2.621629691137</v>
      </c>
      <c r="D330" s="13" t="n">
        <v>0.548380529607726</v>
      </c>
    </row>
    <row r="331" customFormat="false" ht="15" hidden="false" customHeight="false" outlineLevel="0" collapsed="false">
      <c r="B331" s="32" t="n">
        <v>1015383</v>
      </c>
      <c r="C331" s="13" t="n">
        <v>-3.38713831272695</v>
      </c>
      <c r="D331" s="13" t="n">
        <v>0.344979887630832</v>
      </c>
    </row>
    <row r="332" customFormat="false" ht="15" hidden="false" customHeight="false" outlineLevel="0" collapsed="false">
      <c r="B332" s="32" t="n">
        <v>1015922</v>
      </c>
      <c r="C332" s="13" t="n">
        <v>-2.64340634830787</v>
      </c>
      <c r="D332" s="13" t="n">
        <v>0.555288070066719</v>
      </c>
    </row>
    <row r="333" customFormat="false" ht="15" hidden="false" customHeight="false" outlineLevel="0" collapsed="false">
      <c r="B333" s="32" t="n">
        <v>1016281</v>
      </c>
      <c r="C333" s="13" t="n">
        <v>-2.57446444489153</v>
      </c>
      <c r="D333" s="13" t="n">
        <v>0.483249228408655</v>
      </c>
    </row>
    <row r="334" customFormat="false" ht="15" hidden="false" customHeight="false" outlineLevel="0" collapsed="false">
      <c r="B334" s="32" t="n">
        <v>1016838</v>
      </c>
      <c r="C334" s="13" t="n">
        <v>-2.44468153907761</v>
      </c>
      <c r="D334" s="13" t="n">
        <v>0.632846215068335</v>
      </c>
    </row>
    <row r="335" customFormat="false" ht="15" hidden="false" customHeight="false" outlineLevel="0" collapsed="false">
      <c r="B335" s="32" t="n">
        <v>1017303</v>
      </c>
      <c r="C335" s="13" t="n">
        <v>-2.87217508441071</v>
      </c>
      <c r="D335" s="13" t="n">
        <v>0.363615943231584</v>
      </c>
    </row>
    <row r="336" customFormat="false" ht="15" hidden="false" customHeight="false" outlineLevel="0" collapsed="false">
      <c r="B336" s="32" t="n">
        <v>1018963</v>
      </c>
      <c r="C336" s="13" t="n">
        <v>-1.99168613505797</v>
      </c>
      <c r="D336" s="13" t="n">
        <v>0.806425552616871</v>
      </c>
    </row>
    <row r="337" customFormat="false" ht="15" hidden="false" customHeight="false" outlineLevel="0" collapsed="false">
      <c r="B337" s="32" t="n">
        <v>1020214</v>
      </c>
      <c r="C337" s="13" t="n">
        <v>-2.05700898022401</v>
      </c>
      <c r="D337" s="13" t="n">
        <v>0.662404425370076</v>
      </c>
    </row>
    <row r="338" customFormat="false" ht="15" hidden="false" customHeight="false" outlineLevel="0" collapsed="false">
      <c r="B338" s="32" t="n">
        <v>1020710</v>
      </c>
      <c r="C338" s="13" t="n">
        <v>-2.69205042309729</v>
      </c>
      <c r="D338" s="13" t="n">
        <v>0.457095051390823</v>
      </c>
    </row>
    <row r="339" customFormat="false" ht="15" hidden="false" customHeight="false" outlineLevel="0" collapsed="false">
      <c r="B339" s="32" t="n">
        <v>1020859</v>
      </c>
      <c r="C339" s="13" t="n">
        <v>-2.79299528313289</v>
      </c>
      <c r="D339" s="13" t="n">
        <v>0.450406113306257</v>
      </c>
    </row>
    <row r="340" customFormat="false" ht="15" hidden="false" customHeight="false" outlineLevel="0" collapsed="false">
      <c r="B340" s="32" t="n">
        <v>1021561</v>
      </c>
      <c r="C340" s="13" t="n">
        <v>-2.47128547898371</v>
      </c>
      <c r="D340" s="13" t="n">
        <v>0.930641497458859</v>
      </c>
    </row>
    <row r="341" customFormat="false" ht="15" hidden="false" customHeight="false" outlineLevel="0" collapsed="false">
      <c r="B341" s="32" t="n">
        <v>1021635</v>
      </c>
      <c r="C341" s="13" t="n">
        <v>-3.07868938783851</v>
      </c>
      <c r="D341" s="13" t="n">
        <v>0.354001413074875</v>
      </c>
    </row>
    <row r="342" customFormat="false" ht="15" hidden="false" customHeight="false" outlineLevel="0" collapsed="false">
      <c r="B342" s="32" t="n">
        <v>1022321</v>
      </c>
      <c r="C342" s="13" t="n">
        <v>-2.509972984974</v>
      </c>
      <c r="D342" s="13" t="n">
        <v>0.194501091055192</v>
      </c>
    </row>
    <row r="343" customFormat="false" ht="15" hidden="false" customHeight="false" outlineLevel="0" collapsed="false">
      <c r="B343" s="32" t="n">
        <v>1022652</v>
      </c>
      <c r="C343" s="13" t="n">
        <v>-4.64865636555262</v>
      </c>
      <c r="D343" s="13" t="n">
        <v>1.13220385015414</v>
      </c>
    </row>
    <row r="344" customFormat="false" ht="15" hidden="false" customHeight="false" outlineLevel="0" collapsed="false">
      <c r="B344" s="32" t="n">
        <v>1023024</v>
      </c>
      <c r="C344" s="13" t="n">
        <v>-2.89965071560285</v>
      </c>
      <c r="D344" s="13" t="n">
        <v>1.1332923825129</v>
      </c>
    </row>
    <row r="345" customFormat="false" ht="15" hidden="false" customHeight="false" outlineLevel="0" collapsed="false">
      <c r="B345" s="32" t="n">
        <v>1023313</v>
      </c>
      <c r="C345" s="13" t="n">
        <v>-2.78735758506232</v>
      </c>
      <c r="D345" s="13" t="n">
        <v>0.534585271229526</v>
      </c>
    </row>
    <row r="346" customFormat="false" ht="15" hidden="false" customHeight="false" outlineLevel="0" collapsed="false">
      <c r="B346" s="32" t="n">
        <v>1023459</v>
      </c>
      <c r="C346" s="13" t="n">
        <v>-2.79576161025989</v>
      </c>
      <c r="D346" s="13" t="n">
        <v>0.486388112283452</v>
      </c>
    </row>
    <row r="347" customFormat="false" ht="15" hidden="false" customHeight="false" outlineLevel="0" collapsed="false">
      <c r="B347" s="32" t="n">
        <v>1023731</v>
      </c>
      <c r="C347" s="13" t="n">
        <v>-3.31336429983948</v>
      </c>
      <c r="D347" s="13" t="n">
        <v>0.409777775027052</v>
      </c>
    </row>
    <row r="348" customFormat="false" ht="15" hidden="false" customHeight="false" outlineLevel="0" collapsed="false">
      <c r="B348" s="32" t="n">
        <v>1024305</v>
      </c>
      <c r="C348" s="13" t="n">
        <v>-2.34722725076179</v>
      </c>
      <c r="D348" s="13" t="n">
        <v>1.79016998911946</v>
      </c>
    </row>
    <row r="349" customFormat="false" ht="15" hidden="false" customHeight="false" outlineLevel="0" collapsed="false">
      <c r="B349" s="32" t="n">
        <v>1024795</v>
      </c>
      <c r="C349" s="13" t="n">
        <v>-2.77688763456368</v>
      </c>
      <c r="D349" s="13" t="n">
        <v>1.62600162645413</v>
      </c>
    </row>
    <row r="350" customFormat="false" ht="15" hidden="false" customHeight="false" outlineLevel="0" collapsed="false">
      <c r="B350" s="32" t="n">
        <v>1026655</v>
      </c>
      <c r="C350" s="13" t="n">
        <v>-3.04881922721031</v>
      </c>
      <c r="D350" s="13" t="n">
        <v>0.256867104242723</v>
      </c>
    </row>
    <row r="351" customFormat="false" ht="15" hidden="false" customHeight="false" outlineLevel="0" collapsed="false">
      <c r="B351" s="32" t="n">
        <v>1027838</v>
      </c>
      <c r="C351" s="13" t="n">
        <v>-2.66823973956974</v>
      </c>
      <c r="D351" s="13" t="n">
        <v>1.09310788237099</v>
      </c>
    </row>
    <row r="352" customFormat="false" ht="15" hidden="false" customHeight="false" outlineLevel="0" collapsed="false">
      <c r="B352" s="32" t="n">
        <v>1029199</v>
      </c>
      <c r="C352" s="13" t="n">
        <v>-2.6910300382994</v>
      </c>
      <c r="D352" s="13" t="n">
        <v>0.446929784732572</v>
      </c>
    </row>
    <row r="353" customFormat="false" ht="15" hidden="false" customHeight="false" outlineLevel="0" collapsed="false">
      <c r="B353" s="32" t="n">
        <v>1031296</v>
      </c>
      <c r="C353" s="13" t="n">
        <v>-2.60857429122972</v>
      </c>
      <c r="D353" s="13" t="n">
        <v>0.428312161785642</v>
      </c>
    </row>
    <row r="354" customFormat="false" ht="15" hidden="false" customHeight="false" outlineLevel="0" collapsed="false">
      <c r="B354" s="32" t="n">
        <v>1032220</v>
      </c>
      <c r="C354" s="13" t="n">
        <v>-2.80555349033782</v>
      </c>
      <c r="D354" s="13" t="n">
        <v>0.650679305444068</v>
      </c>
    </row>
    <row r="355" customFormat="false" ht="15" hidden="false" customHeight="false" outlineLevel="0" collapsed="false">
      <c r="B355" s="32" t="n">
        <v>1032975</v>
      </c>
      <c r="C355" s="13" t="n">
        <v>-3.33435704551364</v>
      </c>
      <c r="D355" s="13" t="n">
        <v>0.221930818690659</v>
      </c>
    </row>
    <row r="356" customFormat="false" ht="15" hidden="false" customHeight="false" outlineLevel="0" collapsed="false">
      <c r="B356" s="32" t="n">
        <v>1034760</v>
      </c>
      <c r="C356" s="13" t="n">
        <v>-3.01616130439413</v>
      </c>
      <c r="D356" s="13" t="n">
        <v>0.38196372162495</v>
      </c>
    </row>
    <row r="357" customFormat="false" ht="15" hidden="false" customHeight="false" outlineLevel="0" collapsed="false">
      <c r="B357" s="32" t="n">
        <v>1034842</v>
      </c>
      <c r="C357" s="13" t="n">
        <v>-3.40625848220881</v>
      </c>
      <c r="D357" s="13" t="n">
        <v>0.254561665163396</v>
      </c>
    </row>
    <row r="358" customFormat="false" ht="15" hidden="false" customHeight="false" outlineLevel="0" collapsed="false">
      <c r="B358" s="32" t="n">
        <v>1035267</v>
      </c>
      <c r="C358" s="13" t="n">
        <v>-2.35714976953344</v>
      </c>
      <c r="D358" s="13" t="n">
        <v>0.368113608873101</v>
      </c>
    </row>
    <row r="359" customFormat="false" ht="15" hidden="false" customHeight="false" outlineLevel="0" collapsed="false">
      <c r="B359" s="32" t="n">
        <v>1037038</v>
      </c>
      <c r="C359" s="13" t="n">
        <v>-2.82422864229983</v>
      </c>
      <c r="D359" s="13" t="n">
        <v>0.319403612841418</v>
      </c>
    </row>
    <row r="360" customFormat="false" ht="15" hidden="false" customHeight="false" outlineLevel="0" collapsed="false">
      <c r="B360" s="32" t="n">
        <v>1037646</v>
      </c>
      <c r="C360" s="13" t="n">
        <v>-2.79297127604462</v>
      </c>
      <c r="D360" s="13" t="n">
        <v>0.408426448849928</v>
      </c>
    </row>
    <row r="361" customFormat="false" ht="15" hidden="false" customHeight="false" outlineLevel="0" collapsed="false">
      <c r="B361" s="32" t="n">
        <v>1037676</v>
      </c>
      <c r="C361" s="13" t="n">
        <v>-2.29160223205102</v>
      </c>
      <c r="D361" s="13" t="n">
        <v>0.326732916407672</v>
      </c>
    </row>
    <row r="362" customFormat="false" ht="15" hidden="false" customHeight="false" outlineLevel="0" collapsed="false">
      <c r="B362" s="32" t="n">
        <v>1037976</v>
      </c>
      <c r="C362" s="13" t="n">
        <v>-2.6280120613815</v>
      </c>
      <c r="D362" s="13" t="n">
        <v>0.666076803429807</v>
      </c>
    </row>
    <row r="363" customFormat="false" ht="15" hidden="false" customHeight="false" outlineLevel="0" collapsed="false">
      <c r="B363" s="32" t="n">
        <v>1039280</v>
      </c>
      <c r="C363" s="13" t="n">
        <v>-2.6879686394794</v>
      </c>
      <c r="D363" s="13" t="n">
        <v>0.384210610499902</v>
      </c>
    </row>
    <row r="364" customFormat="false" ht="15" hidden="false" customHeight="false" outlineLevel="0" collapsed="false">
      <c r="B364" s="32" t="n">
        <v>1039399</v>
      </c>
      <c r="C364" s="13" t="n">
        <v>-2.23479731024143</v>
      </c>
      <c r="D364" s="13" t="n">
        <v>0.365234335745507</v>
      </c>
    </row>
    <row r="365" customFormat="false" ht="15" hidden="false" customHeight="false" outlineLevel="0" collapsed="false">
      <c r="B365" s="32" t="n">
        <v>1040130</v>
      </c>
      <c r="C365" s="13" t="n">
        <v>-1.39804167122081</v>
      </c>
      <c r="D365" s="13" t="n">
        <v>0.363947402682582</v>
      </c>
    </row>
    <row r="366" customFormat="false" ht="15" hidden="false" customHeight="false" outlineLevel="0" collapsed="false">
      <c r="B366" s="32" t="n">
        <v>1040161</v>
      </c>
      <c r="C366" s="13" t="n">
        <v>-2.7175022990473</v>
      </c>
      <c r="D366" s="13" t="n">
        <v>0.273649431835488</v>
      </c>
    </row>
    <row r="367" customFormat="false" ht="15" hidden="false" customHeight="false" outlineLevel="0" collapsed="false">
      <c r="B367" s="32" t="n">
        <v>1041514</v>
      </c>
      <c r="C367" s="13" t="n">
        <v>-1.79605887753041</v>
      </c>
      <c r="D367" s="13" t="n">
        <v>0.701087065043359</v>
      </c>
    </row>
    <row r="368" customFormat="false" ht="15" hidden="false" customHeight="false" outlineLevel="0" collapsed="false">
      <c r="B368" s="32" t="n">
        <v>1042893</v>
      </c>
      <c r="C368" s="13" t="n">
        <v>-0.15367972352269</v>
      </c>
      <c r="D368" s="13" t="n">
        <v>0.171167261145886</v>
      </c>
    </row>
    <row r="369" customFormat="false" ht="15" hidden="false" customHeight="false" outlineLevel="0" collapsed="false">
      <c r="B369" s="32" t="n">
        <v>1043000</v>
      </c>
      <c r="C369" s="13" t="n">
        <v>-2.51889277378503</v>
      </c>
      <c r="D369" s="13" t="n">
        <v>0.31393403105971</v>
      </c>
    </row>
    <row r="370" customFormat="false" ht="15" hidden="false" customHeight="false" outlineLevel="0" collapsed="false">
      <c r="B370" s="32" t="n">
        <v>1043186</v>
      </c>
      <c r="C370" s="13" t="n">
        <v>-3.33816679842383</v>
      </c>
      <c r="D370" s="13" t="n">
        <v>0.153362480746429</v>
      </c>
    </row>
    <row r="371" customFormat="false" ht="15" hidden="false" customHeight="false" outlineLevel="0" collapsed="false">
      <c r="B371" s="32" t="n">
        <v>1043604</v>
      </c>
      <c r="C371" s="13" t="n">
        <v>-2.89480513631271</v>
      </c>
      <c r="D371" s="13" t="n">
        <v>1.43745248156585</v>
      </c>
    </row>
    <row r="372" customFormat="false" ht="15" hidden="false" customHeight="false" outlineLevel="0" collapsed="false">
      <c r="B372" s="32" t="n">
        <v>1044777</v>
      </c>
      <c r="C372" s="13" t="n">
        <v>-2.7457594419503</v>
      </c>
      <c r="D372" s="13" t="n">
        <v>0.492295624465381</v>
      </c>
    </row>
    <row r="373" customFormat="false" ht="15" hidden="false" customHeight="false" outlineLevel="0" collapsed="false">
      <c r="B373" s="32" t="n">
        <v>1045810</v>
      </c>
      <c r="C373" s="13" t="n">
        <v>-1.12365370043588</v>
      </c>
      <c r="D373" s="13" t="n">
        <v>0.692554615450583</v>
      </c>
    </row>
    <row r="374" customFormat="false" ht="15" hidden="false" customHeight="false" outlineLevel="0" collapsed="false">
      <c r="B374" s="32" t="n">
        <v>1046102</v>
      </c>
      <c r="C374" s="13" t="n">
        <v>-0.490337146854398</v>
      </c>
      <c r="D374" s="13" t="n">
        <v>3.50262579040941</v>
      </c>
    </row>
    <row r="375" customFormat="false" ht="15" hidden="false" customHeight="false" outlineLevel="0" collapsed="false">
      <c r="B375" s="32" t="n">
        <v>1046257</v>
      </c>
      <c r="C375" s="13" t="n">
        <v>-2.85425942882284</v>
      </c>
      <c r="D375" s="13" t="n">
        <v>0.339980305306518</v>
      </c>
    </row>
    <row r="376" customFormat="false" ht="15" hidden="false" customHeight="false" outlineLevel="0" collapsed="false">
      <c r="B376" s="32" t="n">
        <v>1046311</v>
      </c>
      <c r="C376" s="13" t="n">
        <v>-2.77220295272479</v>
      </c>
      <c r="D376" s="13" t="n">
        <v>0.481513941381867</v>
      </c>
    </row>
    <row r="377" customFormat="false" ht="15" hidden="false" customHeight="false" outlineLevel="0" collapsed="false">
      <c r="B377" s="32" t="n">
        <v>1047335</v>
      </c>
      <c r="C377" s="13" t="n">
        <v>-2.60167109131354</v>
      </c>
      <c r="D377" s="13" t="n">
        <v>0.808972811831994</v>
      </c>
    </row>
    <row r="378" customFormat="false" ht="15" hidden="false" customHeight="false" outlineLevel="0" collapsed="false">
      <c r="B378" s="32" t="n">
        <v>1047340</v>
      </c>
      <c r="C378" s="13" t="n">
        <v>-2.75240186433606</v>
      </c>
      <c r="D378" s="13" t="n">
        <v>0.903778002294884</v>
      </c>
    </row>
    <row r="379" customFormat="false" ht="15" hidden="false" customHeight="false" outlineLevel="0" collapsed="false">
      <c r="B379" s="32" t="n">
        <v>1048268</v>
      </c>
      <c r="C379" s="13" t="n">
        <v>-2.71611724882611</v>
      </c>
      <c r="D379" s="13" t="n">
        <v>0.611593203911833</v>
      </c>
    </row>
    <row r="380" customFormat="false" ht="15" hidden="false" customHeight="false" outlineLevel="0" collapsed="false">
      <c r="B380" s="32" t="n">
        <v>1048477</v>
      </c>
      <c r="C380" s="13" t="n">
        <v>-2.43787860641784</v>
      </c>
      <c r="D380" s="13" t="n">
        <v>0.505013097389155</v>
      </c>
    </row>
    <row r="381" customFormat="false" ht="15" hidden="false" customHeight="false" outlineLevel="0" collapsed="false">
      <c r="B381" s="32" t="n">
        <v>1049521</v>
      </c>
      <c r="C381" s="13" t="n">
        <v>-3.01320102268406</v>
      </c>
      <c r="D381" s="13" t="n">
        <v>0.554609858600556</v>
      </c>
    </row>
    <row r="382" customFormat="false" ht="15" hidden="false" customHeight="false" outlineLevel="0" collapsed="false">
      <c r="B382" s="32" t="n">
        <v>1050377</v>
      </c>
      <c r="C382" s="13" t="n">
        <v>-3.02509636024452</v>
      </c>
      <c r="D382" s="13" t="n">
        <v>0.487860600475636</v>
      </c>
    </row>
    <row r="383" customFormat="false" ht="15" hidden="false" customHeight="false" outlineLevel="0" collapsed="false">
      <c r="B383" s="32" t="n">
        <v>1050446</v>
      </c>
      <c r="C383" s="13" t="n">
        <v>-1.91417630969126</v>
      </c>
      <c r="D383" s="13" t="n">
        <v>1.94011023042823</v>
      </c>
    </row>
    <row r="384" customFormat="false" ht="15" hidden="false" customHeight="false" outlineLevel="0" collapsed="false">
      <c r="B384" s="32" t="n">
        <v>1050797</v>
      </c>
      <c r="C384" s="13" t="n">
        <v>-3.24579544525413</v>
      </c>
      <c r="D384" s="13" t="n">
        <v>0.401158972100483</v>
      </c>
    </row>
    <row r="385" customFormat="false" ht="15" hidden="false" customHeight="false" outlineLevel="0" collapsed="false">
      <c r="B385" s="32" t="n">
        <v>1050825</v>
      </c>
      <c r="C385" s="13" t="n">
        <v>-3.1231116293387</v>
      </c>
      <c r="D385" s="13" t="n">
        <v>0.357582574125066</v>
      </c>
    </row>
    <row r="386" customFormat="false" ht="15" hidden="false" customHeight="false" outlineLevel="0" collapsed="false">
      <c r="B386" s="32" t="n">
        <v>1051470</v>
      </c>
      <c r="C386" s="13" t="n">
        <v>-2.52112470640857</v>
      </c>
      <c r="D386" s="13" t="n">
        <v>0.839918010371942</v>
      </c>
    </row>
    <row r="387" customFormat="false" ht="15" hidden="false" customHeight="false" outlineLevel="0" collapsed="false">
      <c r="B387" s="32" t="n">
        <v>1051627</v>
      </c>
      <c r="C387" s="13" t="n">
        <v>-2.58576921221665</v>
      </c>
      <c r="D387" s="13" t="n">
        <v>0.590280165808451</v>
      </c>
    </row>
    <row r="388" customFormat="false" ht="15" hidden="false" customHeight="false" outlineLevel="0" collapsed="false">
      <c r="B388" s="32" t="n">
        <v>1053369</v>
      </c>
      <c r="C388" s="13" t="n">
        <v>0.367565953620737</v>
      </c>
      <c r="D388" s="13" t="n">
        <v>0.997755718726302</v>
      </c>
    </row>
    <row r="389" customFormat="false" ht="15" hidden="false" customHeight="false" outlineLevel="0" collapsed="false">
      <c r="B389" s="32" t="n">
        <v>1057060</v>
      </c>
      <c r="C389" s="13" t="n">
        <v>-1.66126700621248</v>
      </c>
      <c r="D389" s="13" t="n">
        <v>1.49051952352213</v>
      </c>
    </row>
    <row r="390" customFormat="false" ht="15" hidden="false" customHeight="false" outlineLevel="0" collapsed="false">
      <c r="B390" s="32" t="n">
        <v>1057352</v>
      </c>
      <c r="C390" s="13" t="n">
        <v>-2.27560336333183</v>
      </c>
      <c r="D390" s="13" t="n">
        <v>0.220000356391706</v>
      </c>
    </row>
    <row r="391" customFormat="false" ht="15" hidden="false" customHeight="false" outlineLevel="0" collapsed="false">
      <c r="B391" s="32" t="n">
        <v>1058090</v>
      </c>
      <c r="C391" s="13" t="n">
        <v>-2.72739564075905</v>
      </c>
      <c r="D391" s="13" t="n">
        <v>0.392658113674625</v>
      </c>
    </row>
    <row r="392" customFormat="false" ht="15" hidden="false" customHeight="false" outlineLevel="0" collapsed="false">
      <c r="B392" s="32" t="n">
        <v>1058290</v>
      </c>
      <c r="C392" s="13" t="n">
        <v>-2.49226037794529</v>
      </c>
      <c r="D392" s="13" t="n">
        <v>0.512080123328532</v>
      </c>
    </row>
    <row r="393" customFormat="false" ht="15" hidden="false" customHeight="false" outlineLevel="0" collapsed="false">
      <c r="B393" s="32" t="n">
        <v>1058623</v>
      </c>
      <c r="C393" s="13" t="n">
        <v>-3.13574119094406</v>
      </c>
      <c r="D393" s="13" t="n">
        <v>0.483424147667232</v>
      </c>
    </row>
    <row r="394" customFormat="false" ht="15" hidden="false" customHeight="false" outlineLevel="0" collapsed="false">
      <c r="B394" s="32" t="n">
        <v>1059556</v>
      </c>
      <c r="C394" s="13" t="n">
        <v>-2.64350165590951</v>
      </c>
      <c r="D394" s="13" t="n">
        <v>0.513978963184038</v>
      </c>
    </row>
    <row r="395" customFormat="false" ht="15" hidden="false" customHeight="false" outlineLevel="0" collapsed="false">
      <c r="B395" s="32" t="n">
        <v>1060955</v>
      </c>
      <c r="C395" s="13" t="n">
        <v>-2.59869008729518</v>
      </c>
      <c r="D395" s="13" t="n">
        <v>0.699347016585569</v>
      </c>
    </row>
    <row r="396" customFormat="false" ht="15" hidden="false" customHeight="false" outlineLevel="0" collapsed="false">
      <c r="B396" s="32" t="n">
        <v>1065059</v>
      </c>
      <c r="C396" s="13" t="n">
        <v>-1.7292976489975</v>
      </c>
      <c r="D396" s="13" t="n">
        <v>1.58205329767603</v>
      </c>
    </row>
    <row r="397" customFormat="false" ht="15" hidden="false" customHeight="false" outlineLevel="0" collapsed="false">
      <c r="B397" s="32" t="n">
        <v>1065088</v>
      </c>
      <c r="C397" s="13" t="n">
        <v>-2.38711834510855</v>
      </c>
      <c r="D397" s="13" t="n">
        <v>1.35119840189748</v>
      </c>
    </row>
    <row r="398" customFormat="false" ht="15" hidden="false" customHeight="false" outlineLevel="0" collapsed="false">
      <c r="B398" s="32" t="n">
        <v>1065837</v>
      </c>
      <c r="C398" s="13" t="n">
        <v>-2.92593633125552</v>
      </c>
      <c r="D398" s="13" t="n">
        <v>0.460390757787782</v>
      </c>
    </row>
    <row r="399" customFormat="false" ht="15" hidden="false" customHeight="false" outlineLevel="0" collapsed="false">
      <c r="B399" s="32" t="n">
        <v>1066194</v>
      </c>
      <c r="C399" s="13" t="n">
        <v>-2.68960359784072</v>
      </c>
      <c r="D399" s="13" t="n">
        <v>0.172293446824122</v>
      </c>
    </row>
    <row r="400" customFormat="false" ht="15" hidden="false" customHeight="false" outlineLevel="0" collapsed="false">
      <c r="B400" s="32" t="n">
        <v>1066605</v>
      </c>
      <c r="C400" s="13" t="n">
        <v>-1.89230887841954</v>
      </c>
      <c r="D400" s="13" t="n">
        <v>0.342991867956423</v>
      </c>
    </row>
    <row r="401" customFormat="false" ht="15" hidden="false" customHeight="false" outlineLevel="0" collapsed="false">
      <c r="B401" s="32" t="n">
        <v>1067837</v>
      </c>
      <c r="C401" s="13" t="n">
        <v>-5.47549847011796</v>
      </c>
      <c r="D401" s="13" t="n">
        <v>0.512857163195267</v>
      </c>
    </row>
    <row r="402" customFormat="false" ht="15" hidden="false" customHeight="false" outlineLevel="0" collapsed="false">
      <c r="B402" s="32" t="n">
        <v>1069878</v>
      </c>
      <c r="C402" s="13" t="n">
        <v>-3.86140926105231</v>
      </c>
      <c r="D402" s="13" t="n">
        <v>0.155025666601029</v>
      </c>
    </row>
    <row r="403" customFormat="false" ht="15" hidden="false" customHeight="false" outlineLevel="0" collapsed="false">
      <c r="B403" s="32" t="n">
        <v>1069899</v>
      </c>
      <c r="C403" s="13" t="n">
        <v>-2.45255415165119</v>
      </c>
      <c r="D403" s="13" t="n">
        <v>0.477401289172047</v>
      </c>
    </row>
    <row r="404" customFormat="false" ht="15" hidden="false" customHeight="false" outlineLevel="0" collapsed="false">
      <c r="B404" s="32" t="n">
        <v>1070235</v>
      </c>
      <c r="C404" s="13" t="n">
        <v>-2.48155632147409</v>
      </c>
      <c r="D404" s="13" t="n">
        <v>1.09063306849024</v>
      </c>
    </row>
    <row r="405" customFormat="false" ht="15" hidden="false" customHeight="false" outlineLevel="0" collapsed="false">
      <c r="B405" s="32" t="n">
        <v>1070412</v>
      </c>
      <c r="C405" s="13" t="n">
        <v>-1.16676152063768</v>
      </c>
      <c r="D405" s="13" t="n">
        <v>0.459032074906581</v>
      </c>
    </row>
    <row r="406" customFormat="false" ht="15" hidden="false" customHeight="false" outlineLevel="0" collapsed="false">
      <c r="B406" s="32" t="n">
        <v>1070494</v>
      </c>
      <c r="C406" s="13" t="n">
        <v>-2.4719250553758</v>
      </c>
      <c r="D406" s="13" t="n">
        <v>1.18311182229632</v>
      </c>
    </row>
    <row r="407" customFormat="false" ht="15" hidden="false" customHeight="false" outlineLevel="0" collapsed="false">
      <c r="B407" s="32" t="n">
        <v>1076930</v>
      </c>
      <c r="C407" s="13" t="n">
        <v>-2.6002338768351</v>
      </c>
      <c r="D407" s="13" t="n">
        <v>0.543433956006998</v>
      </c>
    </row>
    <row r="408" customFormat="false" ht="15" hidden="false" customHeight="false" outlineLevel="0" collapsed="false">
      <c r="B408" s="32" t="n">
        <v>1078075</v>
      </c>
      <c r="C408" s="13" t="n">
        <v>-2.78061188744553</v>
      </c>
      <c r="D408" s="13" t="n">
        <v>0.590571805504752</v>
      </c>
    </row>
    <row r="409" customFormat="false" ht="15" hidden="false" customHeight="false" outlineLevel="0" collapsed="false">
      <c r="B409" s="32" t="n">
        <v>1078207</v>
      </c>
      <c r="C409" s="13" t="n">
        <v>-6.60212670304349</v>
      </c>
      <c r="D409" s="13" t="n">
        <v>0.724364987409928</v>
      </c>
    </row>
    <row r="410" customFormat="false" ht="15" hidden="false" customHeight="false" outlineLevel="0" collapsed="false">
      <c r="B410" s="32" t="n">
        <v>1081316</v>
      </c>
      <c r="C410" s="13" t="n">
        <v>-2.78013136599477</v>
      </c>
      <c r="D410" s="13" t="n">
        <v>0.170033629293401</v>
      </c>
    </row>
    <row r="411" customFormat="false" ht="15" hidden="false" customHeight="false" outlineLevel="0" collapsed="false">
      <c r="B411" s="32" t="n">
        <v>1082554</v>
      </c>
      <c r="C411" s="13" t="n">
        <v>-2.41629601976912</v>
      </c>
      <c r="D411" s="13" t="n">
        <v>0.454697516954928</v>
      </c>
    </row>
    <row r="412" customFormat="false" ht="15" hidden="false" customHeight="false" outlineLevel="0" collapsed="false">
      <c r="B412" s="32" t="n">
        <v>1084048</v>
      </c>
      <c r="C412" s="13" t="n">
        <v>-2.78030062684428</v>
      </c>
      <c r="D412" s="13" t="n">
        <v>0.43048437563583</v>
      </c>
    </row>
    <row r="413" customFormat="false" ht="15" hidden="false" customHeight="false" outlineLevel="0" collapsed="false">
      <c r="B413" s="32" t="n">
        <v>1084201</v>
      </c>
      <c r="C413" s="13" t="n">
        <v>-2.03423165741736</v>
      </c>
      <c r="D413" s="13" t="n">
        <v>1.48214411562871</v>
      </c>
    </row>
    <row r="414" customFormat="false" ht="15" hidden="false" customHeight="false" outlineLevel="0" collapsed="false">
      <c r="B414" s="32" t="n">
        <v>1084765</v>
      </c>
      <c r="C414" s="13" t="n">
        <v>-2.50730301331117</v>
      </c>
      <c r="D414" s="13" t="n">
        <v>0.448535804370651</v>
      </c>
    </row>
    <row r="415" customFormat="false" ht="15" hidden="false" customHeight="false" outlineLevel="0" collapsed="false">
      <c r="B415" s="32" t="n">
        <v>1084869</v>
      </c>
      <c r="C415" s="13" t="n">
        <v>-3.34238748535711</v>
      </c>
      <c r="D415" s="13" t="n">
        <v>0.251029846518347</v>
      </c>
    </row>
    <row r="416" customFormat="false" ht="15" hidden="false" customHeight="false" outlineLevel="0" collapsed="false">
      <c r="B416" s="32" t="n">
        <v>1084991</v>
      </c>
      <c r="C416" s="13" t="n">
        <v>-1.30893739193801</v>
      </c>
      <c r="D416" s="13" t="n">
        <v>0.793021837777415</v>
      </c>
    </row>
    <row r="417" customFormat="false" ht="15" hidden="false" customHeight="false" outlineLevel="0" collapsed="false">
      <c r="B417" s="32" t="n">
        <v>1086434</v>
      </c>
      <c r="C417" s="13" t="n">
        <v>-2.43886930889912</v>
      </c>
      <c r="D417" s="13" t="n">
        <v>0.577859993881388</v>
      </c>
    </row>
    <row r="418" customFormat="false" ht="15" hidden="false" customHeight="false" outlineLevel="0" collapsed="false">
      <c r="B418" s="32" t="n">
        <v>1088034</v>
      </c>
      <c r="C418" s="13" t="n">
        <v>-2.55205237067348</v>
      </c>
      <c r="D418" s="13" t="n">
        <v>0.60681840608265</v>
      </c>
    </row>
    <row r="419" customFormat="false" ht="15" hidden="false" customHeight="false" outlineLevel="0" collapsed="false">
      <c r="B419" s="32" t="n">
        <v>1088856</v>
      </c>
      <c r="C419" s="13" t="n">
        <v>-2.16696267049801</v>
      </c>
      <c r="D419" s="13" t="n">
        <v>0.480714663799184</v>
      </c>
    </row>
    <row r="420" customFormat="false" ht="15" hidden="false" customHeight="false" outlineLevel="0" collapsed="false">
      <c r="B420" s="32" t="n">
        <v>1090872</v>
      </c>
      <c r="C420" s="13" t="n">
        <v>-2.71707655675763</v>
      </c>
      <c r="D420" s="13" t="n">
        <v>0.408512369062933</v>
      </c>
    </row>
    <row r="421" customFormat="false" ht="15" hidden="false" customHeight="false" outlineLevel="0" collapsed="false">
      <c r="B421" s="32" t="n">
        <v>1092699</v>
      </c>
      <c r="C421" s="13" t="n">
        <v>-2.68539696016383</v>
      </c>
      <c r="D421" s="13" t="n">
        <v>0.451105272563019</v>
      </c>
    </row>
    <row r="422" customFormat="false" ht="15" hidden="false" customHeight="false" outlineLevel="0" collapsed="false">
      <c r="B422" s="32" t="n">
        <v>1093691</v>
      </c>
      <c r="C422" s="13" t="n">
        <v>-2.4854501260833</v>
      </c>
      <c r="D422" s="13" t="n">
        <v>0.400258176150792</v>
      </c>
    </row>
    <row r="423" customFormat="false" ht="15" hidden="false" customHeight="false" outlineLevel="0" collapsed="false">
      <c r="B423" s="32" t="n">
        <v>1094285</v>
      </c>
      <c r="C423" s="13" t="n">
        <v>-2.40964132068338</v>
      </c>
      <c r="D423" s="13" t="n">
        <v>0.640006472906281</v>
      </c>
    </row>
    <row r="424" customFormat="false" ht="15" hidden="false" customHeight="false" outlineLevel="0" collapsed="false">
      <c r="B424" s="32" t="n">
        <v>1096056</v>
      </c>
      <c r="C424" s="13" t="n">
        <v>-2.72717899544891</v>
      </c>
      <c r="D424" s="13" t="n">
        <v>0.526358243124065</v>
      </c>
    </row>
    <row r="425" customFormat="false" ht="15" hidden="false" customHeight="false" outlineLevel="0" collapsed="false">
      <c r="B425" s="32" t="n">
        <v>1097149</v>
      </c>
      <c r="C425" s="13" t="n">
        <v>-2.7140376072135</v>
      </c>
      <c r="D425" s="13" t="n">
        <v>0.990328843259736</v>
      </c>
    </row>
    <row r="426" customFormat="false" ht="15" hidden="false" customHeight="false" outlineLevel="0" collapsed="false">
      <c r="B426" s="32" t="n">
        <v>1099160</v>
      </c>
      <c r="C426" s="13" t="n">
        <v>-3.17786472469015</v>
      </c>
      <c r="D426" s="13" t="n">
        <v>0.537547099064722</v>
      </c>
    </row>
    <row r="427" customFormat="false" ht="15" hidden="false" customHeight="false" outlineLevel="0" collapsed="false">
      <c r="B427" s="32" t="n">
        <v>1099590</v>
      </c>
      <c r="C427" s="13" t="n">
        <v>-3.42384593398572</v>
      </c>
      <c r="D427" s="13" t="n">
        <v>0.519247188677147</v>
      </c>
    </row>
    <row r="428" customFormat="false" ht="15" hidden="false" customHeight="false" outlineLevel="0" collapsed="false">
      <c r="B428" s="32" t="n">
        <v>1099800</v>
      </c>
      <c r="C428" s="13" t="n">
        <v>-2.06810323748537</v>
      </c>
      <c r="D428" s="13" t="n">
        <v>0.466321765059062</v>
      </c>
    </row>
    <row r="429" customFormat="false" ht="15" hidden="false" customHeight="false" outlineLevel="0" collapsed="false">
      <c r="B429" s="32" t="n">
        <v>1100682</v>
      </c>
      <c r="C429" s="13" t="n">
        <v>-2.54827863806417</v>
      </c>
      <c r="D429" s="13" t="n">
        <v>1.4185702554131</v>
      </c>
    </row>
    <row r="430" customFormat="false" ht="15" hidden="false" customHeight="false" outlineLevel="0" collapsed="false">
      <c r="B430" s="32" t="n">
        <v>1101239</v>
      </c>
      <c r="C430" s="13" t="n">
        <v>-2.86450080442619</v>
      </c>
      <c r="D430" s="13" t="n">
        <v>0.610744822006511</v>
      </c>
    </row>
    <row r="431" customFormat="false" ht="15" hidden="false" customHeight="false" outlineLevel="0" collapsed="false">
      <c r="B431" s="32" t="n">
        <v>1101396</v>
      </c>
      <c r="C431" s="13" t="n">
        <v>-3.29719851808239</v>
      </c>
      <c r="D431" s="13" t="n">
        <v>1.1582802957558</v>
      </c>
    </row>
    <row r="432" customFormat="false" ht="15" hidden="false" customHeight="false" outlineLevel="0" collapsed="false">
      <c r="B432" s="32" t="n">
        <v>1102993</v>
      </c>
      <c r="C432" s="13" t="n">
        <v>-3.06415510995354</v>
      </c>
      <c r="D432" s="13" t="n">
        <v>0.926363472542649</v>
      </c>
    </row>
    <row r="433" customFormat="false" ht="15" hidden="false" customHeight="false" outlineLevel="0" collapsed="false">
      <c r="B433" s="32" t="n">
        <v>1104485</v>
      </c>
      <c r="C433" s="13" t="n">
        <v>-2.58133525960805</v>
      </c>
      <c r="D433" s="13" t="n">
        <v>0.594243633691726</v>
      </c>
    </row>
    <row r="434" customFormat="false" ht="15" hidden="false" customHeight="false" outlineLevel="0" collapsed="false">
      <c r="B434" s="32" t="n">
        <v>1104506</v>
      </c>
      <c r="C434" s="13" t="n">
        <v>-2.89718918129776</v>
      </c>
      <c r="D434" s="13" t="n">
        <v>1.23640325238924</v>
      </c>
    </row>
    <row r="435" customFormat="false" ht="15" hidden="false" customHeight="false" outlineLevel="0" collapsed="false">
      <c r="B435" s="32" t="n">
        <v>1107843</v>
      </c>
      <c r="C435" s="13" t="n">
        <v>-2.90091816528537</v>
      </c>
      <c r="D435" s="13" t="n">
        <v>1.26121888530221</v>
      </c>
    </row>
    <row r="436" customFormat="false" ht="15" hidden="false" customHeight="false" outlineLevel="0" collapsed="false">
      <c r="B436" s="32" t="n">
        <v>1108109</v>
      </c>
      <c r="C436" s="13" t="n">
        <v>-2.51183501451188</v>
      </c>
      <c r="D436" s="13" t="n">
        <v>0.371856732327887</v>
      </c>
    </row>
    <row r="437" customFormat="false" ht="15" hidden="false" customHeight="false" outlineLevel="0" collapsed="false">
      <c r="B437" s="32" t="n">
        <v>1109345</v>
      </c>
      <c r="C437" s="13" t="n">
        <v>-2.77192563494747</v>
      </c>
      <c r="D437" s="13" t="n">
        <v>0.640131011488787</v>
      </c>
    </row>
    <row r="438" customFormat="false" ht="15" hidden="false" customHeight="false" outlineLevel="0" collapsed="false">
      <c r="B438" s="32" t="n">
        <v>1109354</v>
      </c>
      <c r="C438" s="13" t="n">
        <v>-2.22978827610582</v>
      </c>
      <c r="D438" s="13" t="n">
        <v>1.43544214887414</v>
      </c>
    </row>
    <row r="439" customFormat="false" ht="15" hidden="false" customHeight="false" outlineLevel="0" collapsed="false">
      <c r="B439" s="32" t="n">
        <v>1111485</v>
      </c>
      <c r="C439" s="13" t="n">
        <v>-0.964613320437013</v>
      </c>
      <c r="D439" s="13" t="n">
        <v>3.10040436781858</v>
      </c>
    </row>
    <row r="440" customFormat="false" ht="15" hidden="false" customHeight="false" outlineLevel="0" collapsed="false">
      <c r="B440" s="32" t="n">
        <v>1111928</v>
      </c>
      <c r="C440" s="13" t="n">
        <v>-2.48272479457756</v>
      </c>
      <c r="D440" s="13" t="n">
        <v>0.315562078790164</v>
      </c>
    </row>
    <row r="441" customFormat="false" ht="15" hidden="false" customHeight="false" outlineLevel="0" collapsed="false">
      <c r="B441" s="32" t="n">
        <v>1114483</v>
      </c>
      <c r="C441" s="13" t="n">
        <v>-2.57854981222532</v>
      </c>
      <c r="D441" s="13" t="n">
        <v>1.64713769878634</v>
      </c>
    </row>
    <row r="442" customFormat="false" ht="15" hidden="false" customHeight="false" outlineLevel="0" collapsed="false">
      <c r="B442" s="32" t="n">
        <v>1114925</v>
      </c>
      <c r="C442" s="13" t="n">
        <v>-2.80347821107312</v>
      </c>
      <c r="D442" s="13" t="n">
        <v>1.32446549734976</v>
      </c>
    </row>
    <row r="443" customFormat="false" ht="15" hidden="false" customHeight="false" outlineLevel="0" collapsed="false">
      <c r="B443" s="32" t="n">
        <v>1114995</v>
      </c>
      <c r="C443" s="13" t="n">
        <v>-2.19785225933982</v>
      </c>
      <c r="D443" s="13" t="n">
        <v>0.399241609166603</v>
      </c>
    </row>
    <row r="444" customFormat="false" ht="15" hidden="false" customHeight="false" outlineLevel="0" collapsed="false">
      <c r="B444" s="32" t="n">
        <v>1116463</v>
      </c>
      <c r="C444" s="13" t="n">
        <v>-3.73359443465633</v>
      </c>
      <c r="D444" s="13" t="n">
        <v>0.0974517718296339</v>
      </c>
    </row>
    <row r="445" customFormat="false" ht="15" hidden="false" customHeight="false" outlineLevel="0" collapsed="false">
      <c r="B445" s="32" t="n">
        <v>1117171</v>
      </c>
      <c r="C445" s="13" t="n">
        <v>-3.22771661582497</v>
      </c>
      <c r="D445" s="13" t="n">
        <v>0.316514234314072</v>
      </c>
    </row>
    <row r="446" customFormat="false" ht="15" hidden="false" customHeight="false" outlineLevel="0" collapsed="false">
      <c r="B446" s="32" t="n">
        <v>1118417</v>
      </c>
      <c r="C446" s="13" t="n">
        <v>-2.77835161433976</v>
      </c>
      <c r="D446" s="13" t="n">
        <v>0.209982742850585</v>
      </c>
    </row>
    <row r="447" customFormat="false" ht="15" hidden="false" customHeight="false" outlineLevel="0" collapsed="false">
      <c r="B447" s="32" t="n">
        <v>1121484</v>
      </c>
      <c r="C447" s="13" t="n">
        <v>-2.70379583455432</v>
      </c>
      <c r="D447" s="13" t="n">
        <v>0.391953173831468</v>
      </c>
    </row>
    <row r="448" customFormat="false" ht="15" hidden="false" customHeight="false" outlineLevel="0" collapsed="false">
      <c r="B448" s="32" t="n">
        <v>1122904</v>
      </c>
      <c r="C448" s="13" t="n">
        <v>-3.92397460185113</v>
      </c>
      <c r="D448" s="13" t="n">
        <v>0.322467390924415</v>
      </c>
    </row>
    <row r="449" customFormat="false" ht="15" hidden="false" customHeight="false" outlineLevel="0" collapsed="false">
      <c r="B449" s="32" t="n">
        <v>1123494</v>
      </c>
      <c r="C449" s="13" t="n">
        <v>-3.11985424348224</v>
      </c>
      <c r="D449" s="13" t="n">
        <v>0.607506760413278</v>
      </c>
    </row>
    <row r="450" customFormat="false" ht="15" hidden="false" customHeight="false" outlineLevel="0" collapsed="false">
      <c r="B450" s="32" t="n">
        <v>1124140</v>
      </c>
      <c r="C450" s="13" t="n">
        <v>-2.63900259243267</v>
      </c>
      <c r="D450" s="13" t="n">
        <v>0.466340254123008</v>
      </c>
    </row>
    <row r="451" customFormat="false" ht="15" hidden="false" customHeight="false" outlineLevel="0" collapsed="false">
      <c r="B451" s="32" t="n">
        <v>1124524</v>
      </c>
      <c r="C451" s="13" t="n">
        <v>-3.02097910281703</v>
      </c>
      <c r="D451" s="13" t="n">
        <v>0.541361679660492</v>
      </c>
    </row>
    <row r="452" customFormat="false" ht="15" hidden="false" customHeight="false" outlineLevel="0" collapsed="false">
      <c r="B452" s="32" t="n">
        <v>1124796</v>
      </c>
      <c r="C452" s="13" t="n">
        <v>-3.28319469384019</v>
      </c>
      <c r="D452" s="13" t="n">
        <v>0.326608520955106</v>
      </c>
    </row>
    <row r="453" customFormat="false" ht="15" hidden="false" customHeight="false" outlineLevel="0" collapsed="false">
      <c r="B453" s="32" t="n">
        <v>1124804</v>
      </c>
      <c r="C453" s="13" t="n">
        <v>-2.71343463725261</v>
      </c>
      <c r="D453" s="13" t="n">
        <v>0.419483369718816</v>
      </c>
    </row>
    <row r="454" customFormat="false" ht="15" hidden="false" customHeight="false" outlineLevel="0" collapsed="false">
      <c r="B454" s="32" t="n">
        <v>1124941</v>
      </c>
      <c r="C454" s="13" t="n">
        <v>-2.63754190967296</v>
      </c>
      <c r="D454" s="13" t="n">
        <v>1.70883670718625</v>
      </c>
    </row>
    <row r="455" customFormat="false" ht="15" hidden="false" customHeight="false" outlineLevel="0" collapsed="false">
      <c r="B455" s="32" t="n">
        <v>1125345</v>
      </c>
      <c r="C455" s="13" t="n">
        <v>-2.3939985437394</v>
      </c>
      <c r="D455" s="13" t="n">
        <v>0.44227024438858</v>
      </c>
    </row>
    <row r="456" customFormat="false" ht="15" hidden="false" customHeight="false" outlineLevel="0" collapsed="false">
      <c r="B456" s="32" t="n">
        <v>1125376</v>
      </c>
      <c r="C456" s="13" t="n">
        <v>-2.46965010501556</v>
      </c>
      <c r="D456" s="13" t="n">
        <v>1.073169894494</v>
      </c>
    </row>
    <row r="457" customFormat="false" ht="15" hidden="false" customHeight="false" outlineLevel="0" collapsed="false">
      <c r="B457" s="32" t="n">
        <v>1127537</v>
      </c>
      <c r="C457" s="13" t="n">
        <v>-2.89486093164913</v>
      </c>
      <c r="D457" s="13" t="n">
        <v>0.832864848398425</v>
      </c>
    </row>
    <row r="458" customFormat="false" ht="15" hidden="false" customHeight="false" outlineLevel="0" collapsed="false">
      <c r="B458" s="32" t="n">
        <v>1130713</v>
      </c>
      <c r="C458" s="13" t="n">
        <v>-4.69175365895876</v>
      </c>
      <c r="D458" s="13" t="n">
        <v>0.288591869116137</v>
      </c>
    </row>
    <row r="459" customFormat="false" ht="15" hidden="false" customHeight="false" outlineLevel="0" collapsed="false">
      <c r="B459" s="32" t="n">
        <v>1132105</v>
      </c>
      <c r="C459" s="13" t="n">
        <v>-2.79632308056107</v>
      </c>
      <c r="D459" s="13" t="n">
        <v>0.4856917564819</v>
      </c>
    </row>
    <row r="460" customFormat="false" ht="15" hidden="false" customHeight="false" outlineLevel="0" collapsed="false">
      <c r="B460" s="32" t="n">
        <v>1133311</v>
      </c>
      <c r="C460" s="13" t="n">
        <v>-2.34998957812463</v>
      </c>
      <c r="D460" s="13" t="n">
        <v>0.376950545588662</v>
      </c>
    </row>
    <row r="461" customFormat="false" ht="15" hidden="false" customHeight="false" outlineLevel="0" collapsed="false">
      <c r="B461" s="32" t="n">
        <v>1133421</v>
      </c>
      <c r="C461" s="13" t="n">
        <v>-2.70580223912284</v>
      </c>
      <c r="D461" s="13" t="n">
        <v>1.25280355289672</v>
      </c>
    </row>
    <row r="462" customFormat="false" ht="15" hidden="false" customHeight="false" outlineLevel="0" collapsed="false">
      <c r="B462" s="32" t="n">
        <v>1136893</v>
      </c>
      <c r="C462" s="13" t="n">
        <v>-3.55849097967681</v>
      </c>
      <c r="D462" s="13" t="n">
        <v>1.51956817177016</v>
      </c>
    </row>
    <row r="463" customFormat="false" ht="15" hidden="false" customHeight="false" outlineLevel="0" collapsed="false">
      <c r="B463" s="32" t="n">
        <v>1137789</v>
      </c>
      <c r="C463" s="13" t="n">
        <v>-3.3134209363689</v>
      </c>
      <c r="D463" s="13" t="n">
        <v>0.83842100728589</v>
      </c>
    </row>
    <row r="464" customFormat="false" ht="15" hidden="false" customHeight="false" outlineLevel="0" collapsed="false">
      <c r="B464" s="32" t="n">
        <v>1138118</v>
      </c>
      <c r="C464" s="13" t="n">
        <v>-2.18427156191448</v>
      </c>
      <c r="D464" s="13" t="n">
        <v>0.707039881824735</v>
      </c>
    </row>
    <row r="465" customFormat="false" ht="15" hidden="false" customHeight="false" outlineLevel="0" collapsed="false">
      <c r="B465" s="32" t="n">
        <v>1140536</v>
      </c>
      <c r="C465" s="13" t="n">
        <v>-2.41586943663416</v>
      </c>
      <c r="D465" s="13" t="n">
        <v>0.631216840340946</v>
      </c>
    </row>
    <row r="466" customFormat="false" ht="15" hidden="false" customHeight="false" outlineLevel="0" collapsed="false">
      <c r="B466" s="32" t="n">
        <v>1141103</v>
      </c>
      <c r="C466" s="13" t="n">
        <v>-3.88320300180153</v>
      </c>
      <c r="D466" s="13" t="n">
        <v>0.309861374449057</v>
      </c>
    </row>
    <row r="467" customFormat="false" ht="15" hidden="false" customHeight="false" outlineLevel="0" collapsed="false">
      <c r="B467" s="32" t="n">
        <v>1141391</v>
      </c>
      <c r="C467" s="13" t="n">
        <v>-2.41988865204489</v>
      </c>
      <c r="D467" s="13" t="n">
        <v>0.4556257701841</v>
      </c>
    </row>
    <row r="468" customFormat="false" ht="15" hidden="false" customHeight="false" outlineLevel="0" collapsed="false">
      <c r="B468" s="32" t="n">
        <v>1142417</v>
      </c>
      <c r="C468" s="13" t="n">
        <v>-2.74086849140331</v>
      </c>
      <c r="D468" s="13" t="n">
        <v>1.64273139986488</v>
      </c>
    </row>
    <row r="469" customFormat="false" ht="15" hidden="false" customHeight="false" outlineLevel="0" collapsed="false">
      <c r="B469" s="32" t="n">
        <v>1142750</v>
      </c>
      <c r="C469" s="13" t="n">
        <v>-2.61277813898119</v>
      </c>
      <c r="D469" s="13" t="n">
        <v>0.581983644881987</v>
      </c>
    </row>
    <row r="470" customFormat="false" ht="15" hidden="false" customHeight="false" outlineLevel="0" collapsed="false">
      <c r="B470" s="32" t="n">
        <v>1144215</v>
      </c>
      <c r="C470" s="13" t="n">
        <v>-2.89904234168963</v>
      </c>
      <c r="D470" s="13" t="n">
        <v>0.417827765942149</v>
      </c>
    </row>
    <row r="471" customFormat="false" ht="15" hidden="false" customHeight="false" outlineLevel="0" collapsed="false">
      <c r="B471" s="32" t="n">
        <v>1144879</v>
      </c>
      <c r="C471" s="13" t="n">
        <v>-0.925651102079886</v>
      </c>
      <c r="D471" s="13" t="n">
        <v>0.83231332382844</v>
      </c>
    </row>
    <row r="472" customFormat="false" ht="15" hidden="false" customHeight="false" outlineLevel="0" collapsed="false">
      <c r="B472" s="32" t="n">
        <v>1145986</v>
      </c>
      <c r="C472" s="13" t="n">
        <v>-2.63102165149695</v>
      </c>
      <c r="D472" s="13" t="n">
        <v>0.198459279592003</v>
      </c>
    </row>
    <row r="473" customFormat="false" ht="15" hidden="false" customHeight="false" outlineLevel="0" collapsed="false">
      <c r="B473" s="32" t="n">
        <v>1156375</v>
      </c>
      <c r="C473" s="13" t="n">
        <v>-2.23071876652994</v>
      </c>
      <c r="D473" s="13" t="n">
        <v>0.700571832939499</v>
      </c>
    </row>
    <row r="474" customFormat="false" ht="15" hidden="false" customHeight="false" outlineLevel="0" collapsed="false">
      <c r="B474" s="32" t="n">
        <v>1158114</v>
      </c>
      <c r="C474" s="13" t="n">
        <v>-3.3301696792581</v>
      </c>
      <c r="D474" s="13" t="n">
        <v>0.525646653822903</v>
      </c>
    </row>
    <row r="475" customFormat="false" ht="15" hidden="false" customHeight="false" outlineLevel="0" collapsed="false">
      <c r="B475" s="32" t="n">
        <v>1158449</v>
      </c>
      <c r="C475" s="13" t="n">
        <v>-2.66078024829112</v>
      </c>
      <c r="D475" s="13" t="n">
        <v>0.475040983010544</v>
      </c>
    </row>
    <row r="476" customFormat="false" ht="15" hidden="false" customHeight="false" outlineLevel="0" collapsed="false">
      <c r="B476" s="32" t="n">
        <v>1158895</v>
      </c>
      <c r="C476" s="13" t="n">
        <v>-2.4925861738164</v>
      </c>
      <c r="D476" s="13" t="n">
        <v>1.71504646672849</v>
      </c>
    </row>
    <row r="477" customFormat="false" ht="15" hidden="false" customHeight="false" outlineLevel="0" collapsed="false">
      <c r="B477" s="32" t="n">
        <v>1159036</v>
      </c>
      <c r="C477" s="13" t="n">
        <v>-2.57820899098621</v>
      </c>
      <c r="D477" s="13" t="n">
        <v>0.703458877074301</v>
      </c>
    </row>
    <row r="478" customFormat="false" ht="15" hidden="false" customHeight="false" outlineLevel="0" collapsed="false">
      <c r="B478" s="32" t="n">
        <v>1159167</v>
      </c>
      <c r="C478" s="13" t="n">
        <v>-3.19599631428117</v>
      </c>
      <c r="D478" s="13" t="n">
        <v>0.249792651710498</v>
      </c>
    </row>
    <row r="479" customFormat="false" ht="15" hidden="false" customHeight="false" outlineLevel="0" collapsed="false">
      <c r="B479" s="32" t="n">
        <v>1160791</v>
      </c>
      <c r="C479" s="13" t="n">
        <v>-5.17505394824354</v>
      </c>
      <c r="D479" s="13" t="n">
        <v>0.405031895481438</v>
      </c>
    </row>
    <row r="480" customFormat="false" ht="15" hidden="false" customHeight="false" outlineLevel="0" collapsed="false">
      <c r="B480" s="32" t="n">
        <v>1162194</v>
      </c>
      <c r="C480" s="13" t="n">
        <v>-3.52071586390387</v>
      </c>
      <c r="D480" s="13" t="n">
        <v>0.308014986485578</v>
      </c>
    </row>
    <row r="481" customFormat="false" ht="15" hidden="false" customHeight="false" outlineLevel="0" collapsed="false">
      <c r="B481" s="32" t="n">
        <v>1163739</v>
      </c>
      <c r="C481" s="13" t="n">
        <v>-3.08548738674184</v>
      </c>
      <c r="D481" s="13" t="n">
        <v>0.415595073263975</v>
      </c>
    </row>
    <row r="482" customFormat="false" ht="15" hidden="false" customHeight="false" outlineLevel="0" collapsed="false">
      <c r="B482" s="32" t="n">
        <v>1164727</v>
      </c>
      <c r="C482" s="13" t="n">
        <v>-1.97703815704806</v>
      </c>
      <c r="D482" s="13" t="n">
        <v>0.212574006994261</v>
      </c>
    </row>
    <row r="483" customFormat="false" ht="15" hidden="false" customHeight="false" outlineLevel="0" collapsed="false">
      <c r="B483" s="32" t="n">
        <v>1165002</v>
      </c>
      <c r="C483" s="13" t="n">
        <v>-1.98957876826949</v>
      </c>
      <c r="D483" s="13" t="n">
        <v>0.58130990459358</v>
      </c>
    </row>
    <row r="484" customFormat="false" ht="15" hidden="false" customHeight="false" outlineLevel="0" collapsed="false">
      <c r="B484" s="32" t="n">
        <v>1167419</v>
      </c>
      <c r="C484" s="13" t="n">
        <v>-2.66493418215898</v>
      </c>
      <c r="D484" s="13" t="n">
        <v>0.519098907287057</v>
      </c>
    </row>
    <row r="485" customFormat="false" ht="15" hidden="false" customHeight="false" outlineLevel="0" collapsed="false">
      <c r="B485" s="32" t="n">
        <v>1169445</v>
      </c>
      <c r="C485" s="13" t="n">
        <v>-3.03609243382449</v>
      </c>
      <c r="D485" s="13" t="n">
        <v>0.757784621157887</v>
      </c>
    </row>
    <row r="486" customFormat="false" ht="15" hidden="false" customHeight="false" outlineLevel="0" collapsed="false">
      <c r="B486" s="32" t="n">
        <v>1170010</v>
      </c>
      <c r="C486" s="13" t="n">
        <v>-2.64930559506302</v>
      </c>
      <c r="D486" s="13" t="n">
        <v>0.539256452903292</v>
      </c>
    </row>
    <row r="487" customFormat="false" ht="15" hidden="false" customHeight="false" outlineLevel="0" collapsed="false">
      <c r="B487" s="32" t="n">
        <v>1171155</v>
      </c>
      <c r="C487" s="13" t="n">
        <v>-3.58251643445815</v>
      </c>
      <c r="D487" s="13" t="n">
        <v>0.463999319703603</v>
      </c>
    </row>
    <row r="488" customFormat="false" ht="15" hidden="false" customHeight="false" outlineLevel="0" collapsed="false">
      <c r="B488" s="32" t="n">
        <v>1171759</v>
      </c>
      <c r="C488" s="13" t="n">
        <v>-2.55706359544394</v>
      </c>
      <c r="D488" s="13" t="n">
        <v>0.324153575894278</v>
      </c>
    </row>
    <row r="489" customFormat="false" ht="15" hidden="false" customHeight="false" outlineLevel="0" collapsed="false">
      <c r="B489" s="32" t="n">
        <v>1177394</v>
      </c>
      <c r="C489" s="13" t="n">
        <v>-2.56070725531332</v>
      </c>
      <c r="D489" s="13" t="n">
        <v>0.643876768884001</v>
      </c>
    </row>
    <row r="490" customFormat="false" ht="15" hidden="false" customHeight="false" outlineLevel="0" collapsed="false">
      <c r="B490" s="32" t="n">
        <v>1177648</v>
      </c>
      <c r="C490" s="13" t="n">
        <v>-4.02203525643844</v>
      </c>
      <c r="D490" s="13" t="n">
        <v>0.43633730005069</v>
      </c>
    </row>
    <row r="491" customFormat="false" ht="15" hidden="false" customHeight="false" outlineLevel="0" collapsed="false">
      <c r="B491" s="32" t="n">
        <v>1178670</v>
      </c>
      <c r="C491" s="13" t="n">
        <v>-2.70836835796603</v>
      </c>
      <c r="D491" s="13" t="n">
        <v>0.36195717663698</v>
      </c>
    </row>
    <row r="492" customFormat="false" ht="15" hidden="false" customHeight="false" outlineLevel="0" collapsed="false">
      <c r="B492" s="32" t="n">
        <v>1178697</v>
      </c>
      <c r="C492" s="13" t="n">
        <v>-2.01158535485758</v>
      </c>
      <c r="D492" s="13" t="n">
        <v>0.574568327697213</v>
      </c>
    </row>
    <row r="493" customFormat="false" ht="15" hidden="false" customHeight="false" outlineLevel="0" collapsed="false">
      <c r="B493" s="32" t="n">
        <v>1178879</v>
      </c>
      <c r="C493" s="13" t="n">
        <v>-2.83385445470196</v>
      </c>
      <c r="D493" s="13" t="n">
        <v>0.364526168372205</v>
      </c>
    </row>
    <row r="494" customFormat="false" ht="15" hidden="false" customHeight="false" outlineLevel="0" collapsed="false">
      <c r="B494" s="32" t="n">
        <v>1192448</v>
      </c>
      <c r="C494" s="13" t="n">
        <v>-2.80029104038239</v>
      </c>
      <c r="D494" s="13" t="n">
        <v>0.500614500896412</v>
      </c>
    </row>
    <row r="495" customFormat="false" ht="15" hidden="false" customHeight="false" outlineLevel="0" collapsed="false">
      <c r="B495" s="32" t="n">
        <v>1193311</v>
      </c>
      <c r="C495" s="13" t="n">
        <v>-2.59074094879842</v>
      </c>
      <c r="D495" s="13" t="n">
        <v>0.458918750325811</v>
      </c>
    </row>
    <row r="496" customFormat="false" ht="15" hidden="false" customHeight="false" outlineLevel="0" collapsed="false">
      <c r="B496" s="32" t="n">
        <v>1195734</v>
      </c>
      <c r="C496" s="13" t="n">
        <v>-2.63109376350704</v>
      </c>
      <c r="D496" s="13" t="n">
        <v>0.393106365725611</v>
      </c>
    </row>
    <row r="497" customFormat="false" ht="15" hidden="false" customHeight="false" outlineLevel="0" collapsed="false">
      <c r="B497" s="32" t="n">
        <v>1200375</v>
      </c>
      <c r="C497" s="13" t="n">
        <v>-4.54182141062124</v>
      </c>
      <c r="D497" s="13" t="n">
        <v>0.557343876134917</v>
      </c>
    </row>
    <row r="498" customFormat="false" ht="15" hidden="false" customHeight="false" outlineLevel="0" collapsed="false">
      <c r="B498" s="32" t="n">
        <v>1201792</v>
      </c>
      <c r="C498" s="13" t="n">
        <v>-3.16241635878915</v>
      </c>
      <c r="D498" s="13" t="n">
        <v>0.304997896705492</v>
      </c>
    </row>
    <row r="499" customFormat="false" ht="15" hidden="false" customHeight="false" outlineLevel="0" collapsed="false">
      <c r="B499" s="32" t="n">
        <v>1210677</v>
      </c>
      <c r="C499" s="13" t="n">
        <v>-2.86403419595911</v>
      </c>
      <c r="D499" s="13" t="n">
        <v>0.500330249764941</v>
      </c>
    </row>
    <row r="500" customFormat="false" ht="15" hidden="false" customHeight="false" outlineLevel="0" collapsed="false">
      <c r="B500" s="32" t="n">
        <v>1210708</v>
      </c>
      <c r="C500" s="13" t="n">
        <v>-2.29499415989172</v>
      </c>
      <c r="D500" s="13" t="n">
        <v>0.305069494697577</v>
      </c>
    </row>
    <row r="501" customFormat="false" ht="15" hidden="false" customHeight="false" outlineLevel="0" collapsed="false">
      <c r="B501" s="32" t="n">
        <v>1217234</v>
      </c>
      <c r="C501" s="13" t="n">
        <v>-4.44683055286551</v>
      </c>
      <c r="D501" s="13" t="n">
        <v>0.394245782089408</v>
      </c>
    </row>
    <row r="502" customFormat="false" ht="15" hidden="false" customHeight="false" outlineLevel="0" collapsed="false">
      <c r="B502" s="32" t="n">
        <v>1227636</v>
      </c>
      <c r="C502" s="13" t="n">
        <v>-2.28453409358023</v>
      </c>
      <c r="D502" s="13" t="n">
        <v>0.681179279179382</v>
      </c>
    </row>
    <row r="503" customFormat="false" ht="15" hidden="false" customHeight="false" outlineLevel="0" collapsed="false">
      <c r="B503" s="32" t="n">
        <v>1253176</v>
      </c>
      <c r="C503" s="13" t="n">
        <v>-4.658978760893</v>
      </c>
      <c r="D503" s="13" t="n">
        <v>0.191119333291671</v>
      </c>
    </row>
    <row r="504" customFormat="false" ht="15" hidden="false" customHeight="false" outlineLevel="0" collapsed="false">
      <c r="B504" s="32" t="n">
        <v>1254699</v>
      </c>
      <c r="C504" s="13" t="n">
        <v>-2.927389283932</v>
      </c>
      <c r="D504" s="13" t="n">
        <v>0.533085671041297</v>
      </c>
    </row>
    <row r="505" customFormat="false" ht="15" hidden="false" customHeight="false" outlineLevel="0" collapsed="false">
      <c r="B505" s="32" t="n">
        <v>1261333</v>
      </c>
      <c r="C505" s="13" t="n">
        <v>-3.94608427058121</v>
      </c>
      <c r="D505" s="13" t="n">
        <v>0.372411201835052</v>
      </c>
    </row>
    <row r="506" customFormat="false" ht="15" hidden="false" customHeight="false" outlineLevel="0" collapsed="false">
      <c r="B506" s="32" t="n">
        <v>1262039</v>
      </c>
      <c r="C506" s="13" t="n">
        <v>-2.87296572449805</v>
      </c>
      <c r="D506" s="13" t="n">
        <v>1.18801397277166</v>
      </c>
    </row>
    <row r="507" customFormat="false" ht="15" hidden="false" customHeight="false" outlineLevel="0" collapsed="false">
      <c r="B507" s="32" t="n">
        <v>1262823</v>
      </c>
      <c r="C507" s="13" t="n">
        <v>-2.85705286640383</v>
      </c>
      <c r="D507" s="13" t="n">
        <v>0.234629382798125</v>
      </c>
    </row>
    <row r="508" customFormat="false" ht="15" hidden="false" customHeight="false" outlineLevel="0" collapsed="false">
      <c r="B508" s="32" t="n">
        <v>1262976</v>
      </c>
      <c r="C508" s="13" t="n">
        <v>-3.31293500758372</v>
      </c>
      <c r="D508" s="13" t="n">
        <v>0.418642337393955</v>
      </c>
    </row>
    <row r="509" customFormat="false" ht="15" hidden="false" customHeight="false" outlineLevel="0" collapsed="false">
      <c r="B509" s="32" t="n">
        <v>1267565</v>
      </c>
      <c r="C509" s="13" t="n">
        <v>-3.5998894112988</v>
      </c>
      <c r="D509" s="13" t="n">
        <v>0.446506771541664</v>
      </c>
    </row>
    <row r="510" customFormat="false" ht="15" hidden="false" customHeight="false" outlineLevel="0" collapsed="false">
      <c r="B510" s="32" t="n">
        <v>1267602</v>
      </c>
      <c r="C510" s="13" t="n">
        <v>-1.19085205818761</v>
      </c>
      <c r="D510" s="13" t="n">
        <v>3.60330670164384</v>
      </c>
    </row>
    <row r="511" customFormat="false" ht="15" hidden="false" customHeight="false" outlineLevel="0" collapsed="false">
      <c r="B511" s="32" t="n">
        <v>1269238</v>
      </c>
      <c r="C511" s="13" t="n">
        <v>-1.86581861402876</v>
      </c>
      <c r="D511" s="13" t="n">
        <v>1.50699175043848</v>
      </c>
    </row>
    <row r="512" customFormat="false" ht="15" hidden="false" customHeight="false" outlineLevel="0" collapsed="false">
      <c r="B512" s="32" t="n">
        <v>1274494</v>
      </c>
      <c r="C512" s="13" t="n">
        <v>-2.0517130567995</v>
      </c>
      <c r="D512" s="13" t="n">
        <v>0.234602182306684</v>
      </c>
    </row>
    <row r="513" customFormat="false" ht="15" hidden="false" customHeight="false" outlineLevel="0" collapsed="false">
      <c r="B513" s="32" t="n">
        <v>1275014</v>
      </c>
      <c r="C513" s="13" t="n">
        <v>-2.90221701226675</v>
      </c>
      <c r="D513" s="13" t="n">
        <v>0.903012151749653</v>
      </c>
    </row>
    <row r="514" customFormat="false" ht="15" hidden="false" customHeight="false" outlineLevel="0" collapsed="false">
      <c r="B514" s="32" t="n">
        <v>1275158</v>
      </c>
      <c r="C514" s="13" t="n">
        <v>-3.24826217687472</v>
      </c>
      <c r="D514" s="13" t="n">
        <v>0.866074949602938</v>
      </c>
    </row>
    <row r="515" customFormat="false" ht="15" hidden="false" customHeight="false" outlineLevel="0" collapsed="false">
      <c r="B515" s="32" t="n">
        <v>1275187</v>
      </c>
      <c r="C515" s="13" t="n">
        <v>-4.06318179865437</v>
      </c>
      <c r="D515" s="13" t="n">
        <v>0.571528004303515</v>
      </c>
    </row>
    <row r="516" customFormat="false" ht="15" hidden="false" customHeight="false" outlineLevel="0" collapsed="false">
      <c r="B516" s="32" t="n">
        <v>1278027</v>
      </c>
      <c r="C516" s="13" t="n">
        <v>-2.99831576917482</v>
      </c>
      <c r="D516" s="13" t="n">
        <v>1.5795042445564</v>
      </c>
    </row>
    <row r="517" customFormat="false" ht="15" hidden="false" customHeight="false" outlineLevel="0" collapsed="false">
      <c r="B517" s="32" t="n">
        <v>1280058</v>
      </c>
      <c r="C517" s="13" t="n">
        <v>-2.82874948322836</v>
      </c>
      <c r="D517" s="13" t="n">
        <v>0.673606532628688</v>
      </c>
    </row>
    <row r="518" customFormat="false" ht="15" hidden="false" customHeight="false" outlineLevel="0" collapsed="false">
      <c r="B518" s="32" t="n">
        <v>1280263</v>
      </c>
      <c r="C518" s="13" t="n">
        <v>-4.47501778882687</v>
      </c>
      <c r="D518" s="13" t="n">
        <v>0.410423977149983</v>
      </c>
    </row>
    <row r="519" customFormat="false" ht="15" hidden="false" customHeight="false" outlineLevel="0" collapsed="false">
      <c r="B519" s="32" t="n">
        <v>1280452</v>
      </c>
      <c r="C519" s="13" t="n">
        <v>-2.91114009081155</v>
      </c>
      <c r="D519" s="13" t="n">
        <v>0.377308413258422</v>
      </c>
    </row>
    <row r="520" customFormat="false" ht="15" hidden="false" customHeight="false" outlineLevel="0" collapsed="false">
      <c r="B520" s="32" t="n">
        <v>1281845</v>
      </c>
      <c r="C520" s="13" t="n">
        <v>-2.03324638950855</v>
      </c>
      <c r="D520" s="13" t="n">
        <v>0.476451768274846</v>
      </c>
    </row>
    <row r="521" customFormat="false" ht="15" hidden="false" customHeight="false" outlineLevel="0" collapsed="false">
      <c r="B521" s="32" t="n">
        <v>1286613</v>
      </c>
      <c r="C521" s="13" t="n">
        <v>-2.50686405869932</v>
      </c>
      <c r="D521" s="13" t="n">
        <v>0.336962102605638</v>
      </c>
    </row>
    <row r="522" customFormat="false" ht="15" hidden="false" customHeight="false" outlineLevel="0" collapsed="false">
      <c r="B522" s="32" t="n">
        <v>1286681</v>
      </c>
      <c r="C522" s="13" t="n">
        <v>-2.59488531791293</v>
      </c>
      <c r="D522" s="13" t="n">
        <v>1.27843800460051</v>
      </c>
    </row>
    <row r="523" customFormat="false" ht="15" hidden="false" customHeight="false" outlineLevel="0" collapsed="false">
      <c r="B523" s="32" t="n">
        <v>1288469</v>
      </c>
      <c r="C523" s="13" t="n">
        <v>-2.69958526985349</v>
      </c>
      <c r="D523" s="13" t="n">
        <v>1.33868845086736</v>
      </c>
    </row>
    <row r="524" customFormat="false" ht="15" hidden="false" customHeight="false" outlineLevel="0" collapsed="false">
      <c r="B524" s="32" t="n">
        <v>1288847</v>
      </c>
      <c r="C524" s="13" t="n">
        <v>-2.98255256852872</v>
      </c>
      <c r="D524" s="13" t="n">
        <v>0.626277723578413</v>
      </c>
    </row>
    <row r="525" customFormat="false" ht="15" hidden="false" customHeight="false" outlineLevel="0" collapsed="false">
      <c r="B525" s="32" t="n">
        <v>1289460</v>
      </c>
      <c r="C525" s="13" t="n">
        <v>-2.74473522061856</v>
      </c>
      <c r="D525" s="13" t="n">
        <v>0.263605575552657</v>
      </c>
    </row>
    <row r="526" customFormat="false" ht="15" hidden="false" customHeight="false" outlineLevel="0" collapsed="false">
      <c r="B526" s="32" t="n">
        <v>1289636</v>
      </c>
      <c r="C526" s="13" t="n">
        <v>-2.13296087847791</v>
      </c>
      <c r="D526" s="13" t="n">
        <v>0.4957226879674</v>
      </c>
    </row>
    <row r="527" customFormat="false" ht="15" hidden="false" customHeight="false" outlineLevel="0" collapsed="false">
      <c r="B527" s="32" t="n">
        <v>1289945</v>
      </c>
      <c r="C527" s="13" t="n">
        <v>-2.80192123665194</v>
      </c>
      <c r="D527" s="13" t="n">
        <v>0.508200089503045</v>
      </c>
    </row>
    <row r="528" customFormat="false" ht="15" hidden="false" customHeight="false" outlineLevel="0" collapsed="false">
      <c r="B528" s="32" t="n">
        <v>1293282</v>
      </c>
      <c r="C528" s="13" t="n">
        <v>-3.11633797480919</v>
      </c>
      <c r="D528" s="13" t="n">
        <v>0.388761566076806</v>
      </c>
    </row>
    <row r="529" customFormat="false" ht="15" hidden="false" customHeight="false" outlineLevel="0" collapsed="false">
      <c r="B529" s="32" t="n">
        <v>1294133</v>
      </c>
      <c r="C529" s="13" t="n">
        <v>-1.16732866988992</v>
      </c>
      <c r="D529" s="13" t="n">
        <v>0.179423749318425</v>
      </c>
    </row>
    <row r="530" customFormat="false" ht="15" hidden="false" customHeight="false" outlineLevel="0" collapsed="false">
      <c r="B530" s="32" t="n">
        <v>1294404</v>
      </c>
      <c r="C530" s="13" t="n">
        <v>-3.52134946076844</v>
      </c>
      <c r="D530" s="13" t="n">
        <v>0.565140850521118</v>
      </c>
    </row>
    <row r="531" customFormat="false" ht="15" hidden="false" customHeight="false" outlineLevel="0" collapsed="false">
      <c r="B531" s="32" t="n">
        <v>1295947</v>
      </c>
      <c r="C531" s="13" t="n">
        <v>-2.41407566320966</v>
      </c>
      <c r="D531" s="13" t="n">
        <v>0.620794277322446</v>
      </c>
    </row>
    <row r="532" customFormat="false" ht="15" hidden="false" customHeight="false" outlineLevel="0" collapsed="false">
      <c r="B532" s="32" t="n">
        <v>1296774</v>
      </c>
      <c r="C532" s="13" t="n">
        <v>5.79633143131311</v>
      </c>
      <c r="D532" s="13" t="n">
        <v>0.920479507670612</v>
      </c>
    </row>
    <row r="533" customFormat="false" ht="15" hidden="false" customHeight="false" outlineLevel="0" collapsed="false">
      <c r="B533" s="32" t="n">
        <v>1297184</v>
      </c>
      <c r="C533" s="13" t="n">
        <v>-2.1323176100225</v>
      </c>
      <c r="D533" s="13" t="n">
        <v>1.41794655531059</v>
      </c>
    </row>
    <row r="534" customFormat="false" ht="15" hidden="false" customHeight="false" outlineLevel="0" collapsed="false">
      <c r="B534" s="32" t="n">
        <v>1297989</v>
      </c>
      <c r="C534" s="13" t="n">
        <v>-2.36418321968097</v>
      </c>
      <c r="D534" s="13" t="n">
        <v>1.72198355241567</v>
      </c>
    </row>
    <row r="535" customFormat="false" ht="15" hidden="false" customHeight="false" outlineLevel="0" collapsed="false">
      <c r="B535" s="32" t="n">
        <v>1302028</v>
      </c>
      <c r="C535" s="13" t="n">
        <v>-2.3966377334461</v>
      </c>
      <c r="D535" s="13" t="n">
        <v>0.518512238019251</v>
      </c>
    </row>
    <row r="536" customFormat="false" ht="15" hidden="false" customHeight="false" outlineLevel="0" collapsed="false">
      <c r="B536" s="32" t="n">
        <v>1305168</v>
      </c>
      <c r="C536" s="13" t="n">
        <v>-2.9576999562982</v>
      </c>
      <c r="D536" s="13" t="n">
        <v>0.381884205600587</v>
      </c>
    </row>
    <row r="537" customFormat="false" ht="15" hidden="false" customHeight="false" outlineLevel="0" collapsed="false">
      <c r="B537" s="32" t="n">
        <v>1308547</v>
      </c>
      <c r="C537" s="13" t="n">
        <v>-2.79480607187189</v>
      </c>
      <c r="D537" s="13" t="n">
        <v>0.347409731970682</v>
      </c>
    </row>
    <row r="538" customFormat="false" ht="15" hidden="false" customHeight="false" outlineLevel="0" collapsed="false">
      <c r="B538" s="32" t="n">
        <v>1309402</v>
      </c>
      <c r="C538" s="13" t="n">
        <v>-3.11537652648299</v>
      </c>
      <c r="D538" s="13" t="n">
        <v>0.173348679430033</v>
      </c>
    </row>
    <row r="539" customFormat="false" ht="15" hidden="false" customHeight="false" outlineLevel="0" collapsed="false">
      <c r="B539" s="32" t="n">
        <v>1313275</v>
      </c>
      <c r="C539" s="13" t="n">
        <v>-2.83189979312003</v>
      </c>
      <c r="D539" s="13" t="n">
        <v>0.480650988753114</v>
      </c>
    </row>
    <row r="540" customFormat="false" ht="15" hidden="false" customHeight="false" outlineLevel="0" collapsed="false">
      <c r="B540" s="32" t="n">
        <v>1314727</v>
      </c>
      <c r="C540" s="13" t="n">
        <v>-3.06047519415461</v>
      </c>
      <c r="D540" s="13" t="n">
        <v>0.459719098188038</v>
      </c>
    </row>
    <row r="541" customFormat="false" ht="15" hidden="false" customHeight="false" outlineLevel="0" collapsed="false">
      <c r="B541" s="32" t="n">
        <v>1315098</v>
      </c>
      <c r="C541" s="13" t="n">
        <v>-3.04766979881577</v>
      </c>
      <c r="D541" s="13" t="n">
        <v>1.92929250036653</v>
      </c>
    </row>
    <row r="542" customFormat="false" ht="15" hidden="false" customHeight="false" outlineLevel="0" collapsed="false">
      <c r="B542" s="32" t="n">
        <v>1316517</v>
      </c>
      <c r="C542" s="13" t="n">
        <v>-2.26508590115657</v>
      </c>
      <c r="D542" s="13" t="n">
        <v>1.24477347487093</v>
      </c>
    </row>
    <row r="543" customFormat="false" ht="15" hidden="false" customHeight="false" outlineLevel="0" collapsed="false">
      <c r="B543" s="32" t="n">
        <v>1316835</v>
      </c>
      <c r="C543" s="13" t="n">
        <v>-2.82484388818899</v>
      </c>
      <c r="D543" s="13" t="n">
        <v>0.522283879165851</v>
      </c>
    </row>
    <row r="544" customFormat="false" ht="15" hidden="false" customHeight="false" outlineLevel="0" collapsed="false">
      <c r="B544" s="32" t="n">
        <v>1317630</v>
      </c>
      <c r="C544" s="13" t="n">
        <v>-2.65797804059388</v>
      </c>
      <c r="D544" s="13" t="n">
        <v>0.355819677857866</v>
      </c>
    </row>
    <row r="545" customFormat="false" ht="15" hidden="false" customHeight="false" outlineLevel="0" collapsed="false">
      <c r="B545" s="32" t="n">
        <v>1317945</v>
      </c>
      <c r="C545" s="13" t="n">
        <v>-2.71072504974182</v>
      </c>
      <c r="D545" s="13" t="n">
        <v>0.228687829624547</v>
      </c>
    </row>
    <row r="546" customFormat="false" ht="15" hidden="false" customHeight="false" outlineLevel="0" collapsed="false">
      <c r="B546" s="32" t="n">
        <v>1318008</v>
      </c>
      <c r="C546" s="13" t="n">
        <v>-3.29394789082746</v>
      </c>
      <c r="D546" s="13" t="n">
        <v>0.430913989966608</v>
      </c>
    </row>
    <row r="547" customFormat="false" ht="15" hidden="false" customHeight="false" outlineLevel="0" collapsed="false">
      <c r="B547" s="32" t="n">
        <v>1318220</v>
      </c>
      <c r="C547" s="13" t="n">
        <v>-2.56192787671378</v>
      </c>
      <c r="D547" s="13" t="n">
        <v>0.964400176521472</v>
      </c>
    </row>
    <row r="548" customFormat="false" ht="15" hidden="false" customHeight="false" outlineLevel="0" collapsed="false">
      <c r="B548" s="32" t="n">
        <v>1318605</v>
      </c>
      <c r="C548" s="13" t="n">
        <v>-1.90838389159463</v>
      </c>
      <c r="D548" s="13" t="n">
        <v>0.385637814397643</v>
      </c>
    </row>
    <row r="549" customFormat="false" ht="15" hidden="false" customHeight="false" outlineLevel="0" collapsed="false">
      <c r="B549" s="32" t="n">
        <v>1319161</v>
      </c>
      <c r="C549" s="13" t="n">
        <v>-2.41093757429335</v>
      </c>
      <c r="D549" s="13" t="n">
        <v>0.616032552440914</v>
      </c>
    </row>
    <row r="550" customFormat="false" ht="15" hidden="false" customHeight="false" outlineLevel="0" collapsed="false">
      <c r="B550" s="32" t="n">
        <v>1319229</v>
      </c>
      <c r="C550" s="13" t="n">
        <v>-3.1686072518462</v>
      </c>
      <c r="D550" s="13" t="n">
        <v>0.19944106265127</v>
      </c>
    </row>
    <row r="551" customFormat="false" ht="15" hidden="false" customHeight="false" outlineLevel="0" collapsed="false">
      <c r="B551" s="32" t="n">
        <v>1319947</v>
      </c>
      <c r="C551" s="13" t="n">
        <v>-2.6453162336661</v>
      </c>
      <c r="D551" s="13" t="n">
        <v>0.567237384553892</v>
      </c>
    </row>
    <row r="552" customFormat="false" ht="15" hidden="false" customHeight="false" outlineLevel="0" collapsed="false">
      <c r="B552" s="32" t="n">
        <v>1320414</v>
      </c>
      <c r="C552" s="13" t="n">
        <v>-2.91274835357207</v>
      </c>
      <c r="D552" s="13" t="n">
        <v>0.531098909424027</v>
      </c>
    </row>
    <row r="553" customFormat="false" ht="15" hidden="false" customHeight="false" outlineLevel="0" collapsed="false">
      <c r="B553" s="32" t="n">
        <v>1321655</v>
      </c>
      <c r="C553" s="13" t="n">
        <v>-2.81557371728741</v>
      </c>
      <c r="D553" s="13" t="n">
        <v>0.794425108367698</v>
      </c>
    </row>
    <row r="554" customFormat="false" ht="15" hidden="false" customHeight="false" outlineLevel="0" collapsed="false">
      <c r="B554" s="32" t="n">
        <v>1321732</v>
      </c>
      <c r="C554" s="13" t="n">
        <v>-2.46997397444582</v>
      </c>
      <c r="D554" s="13" t="n">
        <v>0.586422466280012</v>
      </c>
    </row>
    <row r="555" customFormat="false" ht="15" hidden="false" customHeight="false" outlineLevel="0" collapsed="false">
      <c r="B555" s="32" t="n">
        <v>1322439</v>
      </c>
      <c r="C555" s="13" t="n">
        <v>-2.44077063417822</v>
      </c>
      <c r="D555" s="13" t="n">
        <v>0.590013364257774</v>
      </c>
    </row>
    <row r="556" customFormat="false" ht="15" hidden="false" customHeight="false" outlineLevel="0" collapsed="false">
      <c r="B556" s="32" t="n">
        <v>1325618</v>
      </c>
      <c r="C556" s="13" t="n">
        <v>-2.29374568757671</v>
      </c>
      <c r="D556" s="13" t="n">
        <v>0.242266756288301</v>
      </c>
    </row>
    <row r="557" customFormat="false" ht="15" hidden="false" customHeight="false" outlineLevel="0" collapsed="false">
      <c r="B557" s="32" t="n">
        <v>1325702</v>
      </c>
      <c r="C557" s="13" t="n">
        <v>-2.65160932687759</v>
      </c>
      <c r="D557" s="13" t="n">
        <v>0.203961537432061</v>
      </c>
    </row>
    <row r="558" customFormat="false" ht="15" hidden="false" customHeight="false" outlineLevel="0" collapsed="false">
      <c r="B558" s="32" t="n">
        <v>1326200</v>
      </c>
      <c r="C558" s="13" t="n">
        <v>-3.24449934405067</v>
      </c>
      <c r="D558" s="13" t="n">
        <v>0.697498395756498</v>
      </c>
    </row>
    <row r="559" customFormat="false" ht="15" hidden="false" customHeight="false" outlineLevel="0" collapsed="false">
      <c r="B559" s="32" t="n">
        <v>1326732</v>
      </c>
      <c r="C559" s="13" t="n">
        <v>-3.21829874869029</v>
      </c>
      <c r="D559" s="13" t="n">
        <v>0.561666076540826</v>
      </c>
    </row>
    <row r="560" customFormat="false" ht="15" hidden="false" customHeight="false" outlineLevel="0" collapsed="false">
      <c r="B560" s="32" t="n">
        <v>1327318</v>
      </c>
      <c r="C560" s="13" t="n">
        <v>-2.94198571868309</v>
      </c>
      <c r="D560" s="13" t="n">
        <v>0.14614632147164</v>
      </c>
    </row>
    <row r="561" customFormat="false" ht="15" hidden="false" customHeight="false" outlineLevel="0" collapsed="false">
      <c r="B561" s="32" t="n">
        <v>1327567</v>
      </c>
      <c r="C561" s="13" t="n">
        <v>-2.54914166683225</v>
      </c>
      <c r="D561" s="13" t="n">
        <v>0.740931137490358</v>
      </c>
    </row>
    <row r="562" customFormat="false" ht="15" hidden="false" customHeight="false" outlineLevel="0" collapsed="false">
      <c r="B562" s="32" t="n">
        <v>1327811</v>
      </c>
      <c r="C562" s="13" t="n">
        <v>-2.55134879133051</v>
      </c>
      <c r="D562" s="13" t="n">
        <v>0.523640245348047</v>
      </c>
    </row>
    <row r="563" customFormat="false" ht="15" hidden="false" customHeight="false" outlineLevel="0" collapsed="false">
      <c r="B563" s="32" t="n">
        <v>1328919</v>
      </c>
      <c r="C563" s="13" t="n">
        <v>-2.57398366131928</v>
      </c>
      <c r="D563" s="13" t="n">
        <v>0.136849819151965</v>
      </c>
    </row>
    <row r="564" customFormat="false" ht="15" hidden="false" customHeight="false" outlineLevel="0" collapsed="false">
      <c r="B564" s="32" t="n">
        <v>1329099</v>
      </c>
      <c r="C564" s="13" t="n">
        <v>-2.80078012308875</v>
      </c>
      <c r="D564" s="13" t="n">
        <v>0.602122418143394</v>
      </c>
    </row>
    <row r="565" customFormat="false" ht="15" hidden="false" customHeight="false" outlineLevel="0" collapsed="false">
      <c r="B565" s="32" t="n">
        <v>1333274</v>
      </c>
      <c r="C565" s="13" t="n">
        <v>-2.66920737393481</v>
      </c>
      <c r="D565" s="13" t="n">
        <v>0.178917456720472</v>
      </c>
    </row>
    <row r="566" customFormat="false" ht="15" hidden="false" customHeight="false" outlineLevel="0" collapsed="false">
      <c r="B566" s="32" t="n">
        <v>1333493</v>
      </c>
      <c r="C566" s="13" t="n">
        <v>-2.17769670530554</v>
      </c>
      <c r="D566" s="13" t="n">
        <v>0.579074152677736</v>
      </c>
    </row>
    <row r="567" customFormat="false" ht="15" hidden="false" customHeight="false" outlineLevel="0" collapsed="false">
      <c r="B567" s="32" t="n">
        <v>1334036</v>
      </c>
      <c r="C567" s="13" t="n">
        <v>-2.54014156339833</v>
      </c>
      <c r="D567" s="13" t="n">
        <v>0.703429749550056</v>
      </c>
    </row>
    <row r="568" customFormat="false" ht="15" hidden="false" customHeight="false" outlineLevel="0" collapsed="false">
      <c r="B568" s="32" t="n">
        <v>1334978</v>
      </c>
      <c r="C568" s="13" t="n">
        <v>-3.1078409157474</v>
      </c>
      <c r="D568" s="13" t="n">
        <v>1.47690193389291</v>
      </c>
    </row>
    <row r="569" customFormat="false" ht="15" hidden="false" customHeight="false" outlineLevel="0" collapsed="false">
      <c r="B569" s="32" t="n">
        <v>1336917</v>
      </c>
      <c r="C569" s="13" t="n">
        <v>-2.5539655532876</v>
      </c>
      <c r="D569" s="13" t="n">
        <v>0.373023639577248</v>
      </c>
    </row>
    <row r="570" customFormat="false" ht="15" hidden="false" customHeight="false" outlineLevel="0" collapsed="false">
      <c r="B570" s="32" t="n">
        <v>1337013</v>
      </c>
      <c r="C570" s="13" t="n">
        <v>-2.74006654457289</v>
      </c>
      <c r="D570" s="13" t="n">
        <v>0.767350547190326</v>
      </c>
    </row>
    <row r="571" customFormat="false" ht="15" hidden="false" customHeight="false" outlineLevel="0" collapsed="false">
      <c r="B571" s="32" t="n">
        <v>1337298</v>
      </c>
      <c r="C571" s="13" t="n">
        <v>-2.43561663883586</v>
      </c>
      <c r="D571" s="13" t="n">
        <v>0.137195577876551</v>
      </c>
    </row>
    <row r="572" customFormat="false" ht="15" hidden="false" customHeight="false" outlineLevel="0" collapsed="false">
      <c r="B572" s="32" t="n">
        <v>1338749</v>
      </c>
      <c r="C572" s="13" t="n">
        <v>-1.46803132309361</v>
      </c>
      <c r="D572" s="13" t="n">
        <v>1.51365232454451</v>
      </c>
    </row>
    <row r="573" customFormat="false" ht="15" hidden="false" customHeight="false" outlineLevel="0" collapsed="false">
      <c r="B573" s="32" t="n">
        <v>1338940</v>
      </c>
      <c r="C573" s="13" t="n">
        <v>-2.32113744008313</v>
      </c>
      <c r="D573" s="13" t="n">
        <v>0.699916419276779</v>
      </c>
    </row>
    <row r="574" customFormat="false" ht="15" hidden="false" customHeight="false" outlineLevel="0" collapsed="false">
      <c r="B574" s="32" t="n">
        <v>1340476</v>
      </c>
      <c r="C574" s="13" t="n">
        <v>-3.65118274537916</v>
      </c>
      <c r="D574" s="13" t="n">
        <v>0.272955583998749</v>
      </c>
    </row>
    <row r="575" customFormat="false" ht="15" hidden="false" customHeight="false" outlineLevel="0" collapsed="false">
      <c r="B575" s="32" t="n">
        <v>1341170</v>
      </c>
      <c r="C575" s="13" t="n">
        <v>-0.323512864939038</v>
      </c>
      <c r="D575" s="13" t="n">
        <v>0.200572818388748</v>
      </c>
    </row>
    <row r="576" customFormat="false" ht="15" hidden="false" customHeight="false" outlineLevel="0" collapsed="false">
      <c r="B576" s="32" t="n">
        <v>1341766</v>
      </c>
      <c r="C576" s="13" t="n">
        <v>-1.02646534181041</v>
      </c>
      <c r="D576" s="13" t="n">
        <v>0.291643173795157</v>
      </c>
    </row>
    <row r="577" customFormat="false" ht="15" hidden="false" customHeight="false" outlineLevel="0" collapsed="false">
      <c r="B577" s="32" t="n">
        <v>1345016</v>
      </c>
      <c r="C577" s="13" t="n">
        <v>-3.35383610199535</v>
      </c>
      <c r="D577" s="13" t="n">
        <v>0.354224306139981</v>
      </c>
    </row>
    <row r="578" customFormat="false" ht="15" hidden="false" customHeight="false" outlineLevel="0" collapsed="false">
      <c r="B578" s="32" t="n">
        <v>1345126</v>
      </c>
      <c r="C578" s="13" t="n">
        <v>-2.56934436128266</v>
      </c>
      <c r="D578" s="13" t="n">
        <v>1.14732453915596</v>
      </c>
    </row>
    <row r="579" customFormat="false" ht="15" hidden="false" customHeight="false" outlineLevel="0" collapsed="false">
      <c r="B579" s="32" t="n">
        <v>1346610</v>
      </c>
      <c r="C579" s="13" t="n">
        <v>-3.89589339674632</v>
      </c>
      <c r="D579" s="13" t="n">
        <v>0.341654605556365</v>
      </c>
    </row>
    <row r="580" customFormat="false" ht="15" hidden="false" customHeight="false" outlineLevel="0" collapsed="false">
      <c r="B580" s="32" t="n">
        <v>1347178</v>
      </c>
      <c r="C580" s="13" t="n">
        <v>-2.09802383544941</v>
      </c>
      <c r="D580" s="13" t="n">
        <v>0.472901375535042</v>
      </c>
    </row>
    <row r="581" customFormat="false" ht="15" hidden="false" customHeight="false" outlineLevel="0" collapsed="false">
      <c r="B581" s="32" t="n">
        <v>1351636</v>
      </c>
      <c r="C581" s="13" t="n">
        <v>-2.95291866043679</v>
      </c>
      <c r="D581" s="13" t="n">
        <v>0.59735119306328</v>
      </c>
    </row>
    <row r="582" customFormat="false" ht="15" hidden="false" customHeight="false" outlineLevel="0" collapsed="false">
      <c r="B582" s="32" t="n">
        <v>1356576</v>
      </c>
      <c r="C582" s="13" t="n">
        <v>-2.82088945094721</v>
      </c>
      <c r="D582" s="13" t="n">
        <v>1.78309063642076</v>
      </c>
    </row>
    <row r="583" customFormat="false" ht="15" hidden="false" customHeight="false" outlineLevel="0" collapsed="false">
      <c r="B583" s="32" t="n">
        <v>1359841</v>
      </c>
      <c r="C583" s="13" t="n">
        <v>-3.30759263003892</v>
      </c>
      <c r="D583" s="13" t="n">
        <v>0.430019802456381</v>
      </c>
    </row>
    <row r="584" customFormat="false" ht="15" hidden="false" customHeight="false" outlineLevel="0" collapsed="false">
      <c r="B584" s="32" t="n">
        <v>1360214</v>
      </c>
      <c r="C584" s="13" t="n">
        <v>0.698138171505829</v>
      </c>
      <c r="D584" s="13" t="n">
        <v>2.22216492052535</v>
      </c>
    </row>
    <row r="585" customFormat="false" ht="15" hidden="false" customHeight="false" outlineLevel="0" collapsed="false">
      <c r="B585" s="32" t="n">
        <v>1362004</v>
      </c>
      <c r="C585" s="13" t="n">
        <v>-2.69637933830732</v>
      </c>
      <c r="D585" s="13" t="n">
        <v>0.675602454299313</v>
      </c>
    </row>
    <row r="586" customFormat="false" ht="15" hidden="false" customHeight="false" outlineLevel="0" collapsed="false">
      <c r="B586" s="32" t="n">
        <v>1364479</v>
      </c>
      <c r="C586" s="13" t="n">
        <v>-2.77104899451587</v>
      </c>
      <c r="D586" s="13" t="n">
        <v>0.681885099103686</v>
      </c>
    </row>
    <row r="587" customFormat="false" ht="15" hidden="false" customHeight="false" outlineLevel="0" collapsed="false">
      <c r="B587" s="32" t="n">
        <v>1364954</v>
      </c>
      <c r="C587" s="13" t="n">
        <v>-3.99295980049594</v>
      </c>
      <c r="D587" s="13" t="n">
        <v>0.584149525674218</v>
      </c>
    </row>
    <row r="588" customFormat="false" ht="15" hidden="false" customHeight="false" outlineLevel="0" collapsed="false">
      <c r="B588" s="32" t="n">
        <v>1366561</v>
      </c>
      <c r="C588" s="13" t="n">
        <v>-3.29344820759233</v>
      </c>
      <c r="D588" s="13" t="n">
        <v>0.478198302620267</v>
      </c>
    </row>
    <row r="589" customFormat="false" ht="15" hidden="false" customHeight="false" outlineLevel="0" collapsed="false">
      <c r="B589" s="32" t="n">
        <v>1367644</v>
      </c>
      <c r="C589" s="13" t="n">
        <v>-3.66919392480165</v>
      </c>
      <c r="D589" s="13" t="n">
        <v>1.3742222135958</v>
      </c>
    </row>
    <row r="590" customFormat="false" ht="15" hidden="false" customHeight="false" outlineLevel="0" collapsed="false">
      <c r="B590" s="32" t="n">
        <v>1368458</v>
      </c>
      <c r="C590" s="13" t="n">
        <v>-2.56295511377857</v>
      </c>
      <c r="D590" s="13" t="n">
        <v>1.58460437353599</v>
      </c>
    </row>
    <row r="591" customFormat="false" ht="15" hidden="false" customHeight="false" outlineLevel="0" collapsed="false">
      <c r="B591" s="32" t="n">
        <v>1368514</v>
      </c>
      <c r="C591" s="13" t="n">
        <v>-2.61582771070486</v>
      </c>
      <c r="D591" s="13" t="n">
        <v>0.439828902944495</v>
      </c>
    </row>
    <row r="592" customFormat="false" ht="15" hidden="false" customHeight="false" outlineLevel="0" collapsed="false">
      <c r="B592" s="32" t="n">
        <v>1369241</v>
      </c>
      <c r="C592" s="13" t="n">
        <v>-1.59720919559631</v>
      </c>
      <c r="D592" s="13" t="n">
        <v>0.157566185030946</v>
      </c>
    </row>
    <row r="593" customFormat="false" ht="15" hidden="false" customHeight="false" outlineLevel="0" collapsed="false">
      <c r="B593" s="32" t="n">
        <v>1369568</v>
      </c>
      <c r="C593" s="13" t="n">
        <v>0.155758135444893</v>
      </c>
      <c r="D593" s="13" t="n">
        <v>1.05643553459342</v>
      </c>
    </row>
    <row r="594" customFormat="false" ht="15" hidden="false" customHeight="false" outlineLevel="0" collapsed="false">
      <c r="B594" s="32" t="n">
        <v>1372612</v>
      </c>
      <c r="C594" s="13" t="n">
        <v>-3.11338556938265</v>
      </c>
      <c r="D594" s="13" t="n">
        <v>1.10635808240456</v>
      </c>
    </row>
    <row r="595" customFormat="false" ht="15" hidden="false" customHeight="false" outlineLevel="0" collapsed="false">
      <c r="B595" s="32" t="n">
        <v>1373715</v>
      </c>
      <c r="C595" s="13" t="n">
        <v>-2.68943368531476</v>
      </c>
      <c r="D595" s="13" t="n">
        <v>0.570547444870767</v>
      </c>
    </row>
    <row r="596" customFormat="false" ht="15" hidden="false" customHeight="false" outlineLevel="0" collapsed="false">
      <c r="B596" s="32" t="n">
        <v>1375365</v>
      </c>
      <c r="C596" s="13" t="n">
        <v>-1.85497329198356</v>
      </c>
      <c r="D596" s="13" t="n">
        <v>1.21522863077687</v>
      </c>
    </row>
    <row r="597" customFormat="false" ht="15" hidden="false" customHeight="false" outlineLevel="0" collapsed="false">
      <c r="B597" s="32" t="n">
        <v>1378992</v>
      </c>
      <c r="C597" s="13" t="n">
        <v>-2.8986866006635</v>
      </c>
      <c r="D597" s="13" t="n">
        <v>1.03129346507033</v>
      </c>
    </row>
    <row r="598" customFormat="false" ht="15" hidden="false" customHeight="false" outlineLevel="0" collapsed="false">
      <c r="B598" s="32" t="n">
        <v>1381640</v>
      </c>
      <c r="C598" s="13" t="n">
        <v>-1.6992694807291</v>
      </c>
      <c r="D598" s="13" t="n">
        <v>0.515934535321474</v>
      </c>
    </row>
    <row r="599" customFormat="false" ht="15" hidden="false" customHeight="false" outlineLevel="0" collapsed="false">
      <c r="B599" s="32" t="n">
        <v>1382101</v>
      </c>
      <c r="C599" s="13" t="n">
        <v>-0.319673893737214</v>
      </c>
      <c r="D599" s="13" t="n">
        <v>0.525404375403155</v>
      </c>
    </row>
    <row r="600" customFormat="false" ht="15" hidden="false" customHeight="false" outlineLevel="0" collapsed="false">
      <c r="B600" s="32" t="n">
        <v>1382821</v>
      </c>
      <c r="C600" s="13" t="n">
        <v>-3.12020463027883</v>
      </c>
      <c r="D600" s="13" t="n">
        <v>0.435625315873699</v>
      </c>
    </row>
    <row r="601" customFormat="false" ht="15" hidden="false" customHeight="false" outlineLevel="0" collapsed="false">
      <c r="B601" s="32" t="n">
        <v>1384195</v>
      </c>
      <c r="C601" s="13" t="n">
        <v>-2.83196509394591</v>
      </c>
      <c r="D601" s="13" t="n">
        <v>0.367002559054006</v>
      </c>
    </row>
    <row r="602" customFormat="false" ht="15" hidden="false" customHeight="false" outlineLevel="0" collapsed="false">
      <c r="B602" s="32" t="n">
        <v>1384905</v>
      </c>
      <c r="C602" s="13" t="n">
        <v>-3.75008650904658</v>
      </c>
      <c r="D602" s="13" t="n">
        <v>0.404069372235326</v>
      </c>
    </row>
    <row r="603" customFormat="false" ht="15" hidden="false" customHeight="false" outlineLevel="0" collapsed="false">
      <c r="B603" s="32" t="n">
        <v>1385157</v>
      </c>
      <c r="C603" s="13" t="n">
        <v>-2.69511785369687</v>
      </c>
      <c r="D603" s="13" t="n">
        <v>0.501666951364339</v>
      </c>
    </row>
    <row r="604" customFormat="false" ht="15" hidden="false" customHeight="false" outlineLevel="0" collapsed="false">
      <c r="B604" s="32" t="n">
        <v>1386278</v>
      </c>
      <c r="C604" s="13" t="n">
        <v>-2.15495035935073</v>
      </c>
      <c r="D604" s="13" t="n">
        <v>0.54610750372628</v>
      </c>
    </row>
    <row r="605" customFormat="false" ht="15" hidden="false" customHeight="false" outlineLevel="0" collapsed="false">
      <c r="B605" s="32" t="n">
        <v>1386716</v>
      </c>
      <c r="C605" s="13" t="n">
        <v>-3.05216132312741</v>
      </c>
      <c r="D605" s="13" t="n">
        <v>0.317991022542787</v>
      </c>
    </row>
    <row r="606" customFormat="false" ht="15" hidden="false" customHeight="false" outlineLevel="0" collapsed="false">
      <c r="B606" s="32" t="n">
        <v>1387467</v>
      </c>
      <c r="C606" s="13" t="n">
        <v>-2.71038560115463</v>
      </c>
      <c r="D606" s="13" t="n">
        <v>0.457205599712042</v>
      </c>
    </row>
    <row r="607" customFormat="false" ht="15" hidden="false" customHeight="false" outlineLevel="0" collapsed="false">
      <c r="B607" s="32" t="n">
        <v>1388658</v>
      </c>
      <c r="C607" s="13" t="n">
        <v>-3.01762931743311</v>
      </c>
      <c r="D607" s="13" t="n">
        <v>0.441614352304866</v>
      </c>
    </row>
    <row r="608" customFormat="false" ht="15" hidden="false" customHeight="false" outlineLevel="0" collapsed="false">
      <c r="B608" s="32" t="n">
        <v>1389050</v>
      </c>
      <c r="C608" s="13" t="n">
        <v>-2.90761016531628</v>
      </c>
      <c r="D608" s="13" t="n">
        <v>0.373126596511748</v>
      </c>
    </row>
    <row r="609" customFormat="false" ht="15" hidden="false" customHeight="false" outlineLevel="0" collapsed="false">
      <c r="B609" s="32" t="n">
        <v>1391135</v>
      </c>
      <c r="C609" s="13" t="n">
        <v>-1.93464635371967</v>
      </c>
      <c r="D609" s="13" t="n">
        <v>0.762329758663998</v>
      </c>
    </row>
    <row r="610" customFormat="false" ht="15" hidden="false" customHeight="false" outlineLevel="0" collapsed="false">
      <c r="B610" s="32" t="n">
        <v>1392972</v>
      </c>
      <c r="C610" s="13" t="n">
        <v>-3.25363358394193</v>
      </c>
      <c r="D610" s="13" t="n">
        <v>0.288267428133105</v>
      </c>
    </row>
    <row r="611" customFormat="false" ht="15" hidden="false" customHeight="false" outlineLevel="0" collapsed="false">
      <c r="B611" s="32" t="n">
        <v>1393052</v>
      </c>
      <c r="C611" s="13" t="n">
        <v>-2.6145355069652</v>
      </c>
      <c r="D611" s="13" t="n">
        <v>0.730784209617761</v>
      </c>
    </row>
    <row r="612" customFormat="false" ht="15" hidden="false" customHeight="false" outlineLevel="0" collapsed="false">
      <c r="B612" s="32" t="n">
        <v>1393434</v>
      </c>
      <c r="C612" s="13" t="n">
        <v>-2.58810200998876</v>
      </c>
      <c r="D612" s="13" t="n">
        <v>0.370277844874491</v>
      </c>
    </row>
    <row r="613" customFormat="false" ht="15" hidden="false" customHeight="false" outlineLevel="0" collapsed="false">
      <c r="B613" s="32" t="n">
        <v>1393584</v>
      </c>
      <c r="C613" s="13" t="n">
        <v>-7.16245245105795</v>
      </c>
      <c r="D613" s="13" t="n">
        <v>0.232265311340149</v>
      </c>
    </row>
    <row r="614" customFormat="false" ht="15" hidden="false" customHeight="false" outlineLevel="0" collapsed="false">
      <c r="B614" s="32" t="n">
        <v>1393883</v>
      </c>
      <c r="C614" s="13" t="n">
        <v>-2.7804984756643</v>
      </c>
      <c r="D614" s="13" t="n">
        <v>1.60803357563362</v>
      </c>
    </row>
    <row r="615" customFormat="false" ht="15" hidden="false" customHeight="false" outlineLevel="0" collapsed="false">
      <c r="B615" s="32" t="n">
        <v>1396814</v>
      </c>
      <c r="C615" s="13" t="n">
        <v>-2.68651835011946</v>
      </c>
      <c r="D615" s="13" t="n">
        <v>0.494774913943496</v>
      </c>
    </row>
    <row r="616" customFormat="false" ht="15" hidden="false" customHeight="false" outlineLevel="0" collapsed="false">
      <c r="B616" s="32" t="n">
        <v>1397047</v>
      </c>
      <c r="C616" s="13" t="n">
        <v>-2.19395566241316</v>
      </c>
      <c r="D616" s="13" t="n">
        <v>0.821739523035894</v>
      </c>
    </row>
    <row r="617" customFormat="false" ht="15" hidden="false" customHeight="false" outlineLevel="0" collapsed="false">
      <c r="B617" s="32" t="n">
        <v>1397702</v>
      </c>
      <c r="C617" s="13" t="n">
        <v>-1.83843390772482</v>
      </c>
      <c r="D617" s="13" t="n">
        <v>1.94610842950017</v>
      </c>
    </row>
    <row r="618" customFormat="false" ht="15" hidden="false" customHeight="false" outlineLevel="0" collapsed="false">
      <c r="B618" s="32" t="n">
        <v>1398659</v>
      </c>
      <c r="C618" s="13" t="n">
        <v>-2.1656855505787</v>
      </c>
      <c r="D618" s="13" t="n">
        <v>0.582048834742827</v>
      </c>
    </row>
    <row r="619" customFormat="false" ht="15" hidden="false" customHeight="false" outlineLevel="0" collapsed="false">
      <c r="B619" s="32" t="n">
        <v>1398987</v>
      </c>
      <c r="C619" s="13" t="n">
        <v>-3.18569586582263</v>
      </c>
      <c r="D619" s="13" t="n">
        <v>0.58488795668723</v>
      </c>
    </row>
    <row r="620" customFormat="false" ht="15" hidden="false" customHeight="false" outlineLevel="0" collapsed="false">
      <c r="B620" s="32" t="n">
        <v>1399520</v>
      </c>
      <c r="C620" s="13" t="n">
        <v>-3.14648951135544</v>
      </c>
      <c r="D620" s="13" t="n">
        <v>0.292925489477632</v>
      </c>
    </row>
    <row r="621" customFormat="false" ht="15" hidden="false" customHeight="false" outlineLevel="0" collapsed="false">
      <c r="B621" s="32" t="n">
        <v>1401667</v>
      </c>
      <c r="C621" s="13" t="n">
        <v>-2.44848306844943</v>
      </c>
      <c r="D621" s="13" t="n">
        <v>0.38534839983638</v>
      </c>
    </row>
    <row r="622" customFormat="false" ht="15" hidden="false" customHeight="false" outlineLevel="0" collapsed="false">
      <c r="B622" s="32" t="n">
        <v>1402436</v>
      </c>
      <c r="C622" s="13" t="n">
        <v>-2.67249517204356</v>
      </c>
      <c r="D622" s="13" t="n">
        <v>0.690412795408189</v>
      </c>
    </row>
    <row r="623" customFormat="false" ht="15" hidden="false" customHeight="false" outlineLevel="0" collapsed="false">
      <c r="B623" s="32" t="n">
        <v>1403161</v>
      </c>
      <c r="C623" s="13" t="n">
        <v>-2.52448030226616</v>
      </c>
      <c r="D623" s="13" t="n">
        <v>0.52176056857171</v>
      </c>
    </row>
    <row r="624" customFormat="false" ht="15" hidden="false" customHeight="false" outlineLevel="0" collapsed="false">
      <c r="B624" s="32" t="n">
        <v>1403568</v>
      </c>
      <c r="C624" s="13" t="n">
        <v>-2.56500039448047</v>
      </c>
      <c r="D624" s="13" t="n">
        <v>0.398767921463093</v>
      </c>
    </row>
    <row r="625" customFormat="false" ht="15" hidden="false" customHeight="false" outlineLevel="0" collapsed="false">
      <c r="B625" s="32" t="n">
        <v>1404655</v>
      </c>
      <c r="C625" s="13" t="n">
        <v>-2.93067817875906</v>
      </c>
      <c r="D625" s="13" t="n">
        <v>0.648341763701538</v>
      </c>
    </row>
    <row r="626" customFormat="false" ht="15" hidden="false" customHeight="false" outlineLevel="0" collapsed="false">
      <c r="B626" s="32" t="n">
        <v>1405495</v>
      </c>
      <c r="C626" s="13" t="n">
        <v>-1.4987694800851</v>
      </c>
      <c r="D626" s="13" t="n">
        <v>0.485170565455258</v>
      </c>
    </row>
    <row r="627" customFormat="false" ht="15" hidden="false" customHeight="false" outlineLevel="0" collapsed="false">
      <c r="B627" s="32" t="n">
        <v>1406666</v>
      </c>
      <c r="C627" s="13" t="n">
        <v>-2.36590402304983</v>
      </c>
      <c r="D627" s="13" t="n">
        <v>0.704410190574291</v>
      </c>
    </row>
    <row r="628" customFormat="false" ht="15" hidden="false" customHeight="false" outlineLevel="0" collapsed="false">
      <c r="B628" s="32" t="n">
        <v>1409269</v>
      </c>
      <c r="C628" s="13" t="n">
        <v>-4.04135842131272</v>
      </c>
      <c r="D628" s="13" t="n">
        <v>1.28002618516882</v>
      </c>
    </row>
    <row r="629" customFormat="false" ht="15" hidden="false" customHeight="false" outlineLevel="0" collapsed="false">
      <c r="B629" s="32" t="n">
        <v>1409375</v>
      </c>
      <c r="C629" s="13" t="n">
        <v>-3.00795762635021</v>
      </c>
      <c r="D629" s="13" t="n">
        <v>0.372521166664054</v>
      </c>
    </row>
    <row r="630" customFormat="false" ht="15" hidden="false" customHeight="false" outlineLevel="0" collapsed="false">
      <c r="B630" s="32" t="n">
        <v>1410384</v>
      </c>
      <c r="C630" s="13" t="n">
        <v>-3.13283008434849</v>
      </c>
      <c r="D630" s="13" t="n">
        <v>0.459345676701559</v>
      </c>
    </row>
    <row r="631" customFormat="false" ht="15" hidden="false" customHeight="false" outlineLevel="0" collapsed="false">
      <c r="B631" s="32" t="n">
        <v>1411207</v>
      </c>
      <c r="C631" s="13" t="n">
        <v>-2.62144199889399</v>
      </c>
      <c r="D631" s="13" t="n">
        <v>0.438505952906133</v>
      </c>
    </row>
    <row r="632" customFormat="false" ht="15" hidden="false" customHeight="false" outlineLevel="0" collapsed="false">
      <c r="B632" s="32" t="n">
        <v>1413447</v>
      </c>
      <c r="C632" s="13" t="n">
        <v>-3.73259896328405</v>
      </c>
      <c r="D632" s="13" t="n">
        <v>0.432153952729739</v>
      </c>
    </row>
    <row r="633" customFormat="false" ht="15" hidden="false" customHeight="false" outlineLevel="0" collapsed="false">
      <c r="B633" s="32" t="n">
        <v>1413898</v>
      </c>
      <c r="C633" s="13" t="n">
        <v>-3.12107449128096</v>
      </c>
      <c r="D633" s="13" t="n">
        <v>0.36196040347293</v>
      </c>
    </row>
    <row r="634" customFormat="false" ht="15" hidden="false" customHeight="false" outlineLevel="0" collapsed="false">
      <c r="B634" s="32" t="n">
        <v>1415404</v>
      </c>
      <c r="C634" s="13" t="n">
        <v>-2.88079140803869</v>
      </c>
      <c r="D634" s="13" t="n">
        <v>0.487362388182673</v>
      </c>
    </row>
    <row r="635" customFormat="false" ht="15" hidden="false" customHeight="false" outlineLevel="0" collapsed="false">
      <c r="B635" s="32" t="n">
        <v>1415921</v>
      </c>
      <c r="C635" s="13" t="n">
        <v>-2.86069151872693</v>
      </c>
      <c r="D635" s="13" t="n">
        <v>0.49471229003027</v>
      </c>
    </row>
    <row r="636" customFormat="false" ht="15" hidden="false" customHeight="false" outlineLevel="0" collapsed="false">
      <c r="B636" s="32" t="n">
        <v>1417892</v>
      </c>
      <c r="C636" s="13" t="n">
        <v>-2.21475504561739</v>
      </c>
      <c r="D636" s="13" t="n">
        <v>0.862040798007839</v>
      </c>
    </row>
    <row r="637" customFormat="false" ht="15" hidden="false" customHeight="false" outlineLevel="0" collapsed="false">
      <c r="B637" s="32" t="n">
        <v>1418135</v>
      </c>
      <c r="C637" s="13" t="n">
        <v>-2.47858196718735</v>
      </c>
      <c r="D637" s="13" t="n">
        <v>0.654021119371929</v>
      </c>
    </row>
    <row r="638" customFormat="false" ht="15" hidden="false" customHeight="false" outlineLevel="0" collapsed="false">
      <c r="B638" s="32" t="n">
        <v>1418819</v>
      </c>
      <c r="C638" s="13" t="n">
        <v>-2.93706197011747</v>
      </c>
      <c r="D638" s="13" t="n">
        <v>0.136098570688142</v>
      </c>
    </row>
    <row r="639" customFormat="false" ht="15" hidden="false" customHeight="false" outlineLevel="0" collapsed="false">
      <c r="B639" s="32" t="n">
        <v>1419275</v>
      </c>
      <c r="C639" s="13" t="n">
        <v>-5.17471387738299</v>
      </c>
      <c r="D639" s="13" t="n">
        <v>0.864222238051093</v>
      </c>
    </row>
    <row r="640" customFormat="false" ht="15" hidden="false" customHeight="false" outlineLevel="0" collapsed="false">
      <c r="B640" s="32" t="n">
        <v>1420800</v>
      </c>
      <c r="C640" s="13" t="n">
        <v>-2.69915198414084</v>
      </c>
      <c r="D640" s="13" t="n">
        <v>1.84129815133321</v>
      </c>
    </row>
    <row r="641" customFormat="false" ht="15" hidden="false" customHeight="false" outlineLevel="0" collapsed="false">
      <c r="B641" s="32" t="n">
        <v>1421517</v>
      </c>
      <c r="C641" s="13" t="n">
        <v>-2.1795330764051</v>
      </c>
      <c r="D641" s="13" t="n">
        <v>1.2938163444552</v>
      </c>
    </row>
    <row r="642" customFormat="false" ht="15" hidden="false" customHeight="false" outlineLevel="0" collapsed="false">
      <c r="B642" s="32" t="n">
        <v>1422930</v>
      </c>
      <c r="C642" s="13" t="n">
        <v>-2.82903367056783</v>
      </c>
      <c r="D642" s="13" t="n">
        <v>0.625064771362453</v>
      </c>
    </row>
    <row r="643" customFormat="false" ht="15" hidden="false" customHeight="false" outlineLevel="0" collapsed="false">
      <c r="B643" s="32" t="n">
        <v>1423221</v>
      </c>
      <c r="C643" s="13" t="n">
        <v>-2.96970745324893</v>
      </c>
      <c r="D643" s="13" t="n">
        <v>0.36392297466983</v>
      </c>
    </row>
    <row r="644" customFormat="false" ht="15" hidden="false" customHeight="false" outlineLevel="0" collapsed="false">
      <c r="B644" s="32" t="n">
        <v>1423774</v>
      </c>
      <c r="C644" s="13" t="n">
        <v>-2.57404942732169</v>
      </c>
      <c r="D644" s="13" t="n">
        <v>0.319329024224693</v>
      </c>
    </row>
    <row r="645" customFormat="false" ht="15" hidden="false" customHeight="false" outlineLevel="0" collapsed="false">
      <c r="B645" s="32" t="n">
        <v>1423902</v>
      </c>
      <c r="C645" s="13" t="n">
        <v>-2.64028347708723</v>
      </c>
      <c r="D645" s="13" t="n">
        <v>0.43623003128162</v>
      </c>
    </row>
    <row r="646" customFormat="false" ht="15" hidden="false" customHeight="false" outlineLevel="0" collapsed="false">
      <c r="B646" s="32" t="n">
        <v>1425450</v>
      </c>
      <c r="C646" s="13" t="n">
        <v>-2.29163914420891</v>
      </c>
      <c r="D646" s="13" t="n">
        <v>0.625560035242707</v>
      </c>
    </row>
    <row r="647" customFormat="false" ht="15" hidden="false" customHeight="false" outlineLevel="0" collapsed="false">
      <c r="B647" s="32" t="n">
        <v>1428336</v>
      </c>
      <c r="C647" s="13" t="n">
        <v>-2.724359196179</v>
      </c>
      <c r="D647" s="13" t="n">
        <v>0.567901689079523</v>
      </c>
    </row>
    <row r="648" customFormat="false" ht="15" hidden="false" customHeight="false" outlineLevel="0" collapsed="false">
      <c r="B648" s="32" t="n">
        <v>1428439</v>
      </c>
      <c r="C648" s="13" t="n">
        <v>-3.62816928670599</v>
      </c>
      <c r="D648" s="13" t="n">
        <v>0.256505095333825</v>
      </c>
    </row>
    <row r="649" customFormat="false" ht="15" hidden="false" customHeight="false" outlineLevel="0" collapsed="false">
      <c r="B649" s="32" t="n">
        <v>1429260</v>
      </c>
      <c r="C649" s="13" t="n">
        <v>1.67294563318676</v>
      </c>
      <c r="D649" s="13" t="n">
        <v>0.543970236282163</v>
      </c>
    </row>
    <row r="650" customFormat="false" ht="15" hidden="false" customHeight="false" outlineLevel="0" collapsed="false">
      <c r="B650" s="32" t="n">
        <v>1429764</v>
      </c>
      <c r="C650" s="13" t="n">
        <v>-2.87398732704064</v>
      </c>
      <c r="D650" s="13" t="n">
        <v>0.712171234997221</v>
      </c>
    </row>
    <row r="651" customFormat="false" ht="15" hidden="false" customHeight="false" outlineLevel="0" collapsed="false">
      <c r="B651" s="32" t="n">
        <v>1430725</v>
      </c>
      <c r="C651" s="13" t="n">
        <v>-2.41147656988866</v>
      </c>
      <c r="D651" s="13" t="n">
        <v>0.153667885819488</v>
      </c>
    </row>
    <row r="652" customFormat="false" ht="15" hidden="false" customHeight="false" outlineLevel="0" collapsed="false">
      <c r="B652" s="32" t="n">
        <v>1431695</v>
      </c>
      <c r="C652" s="13" t="n">
        <v>-2.41645746794849</v>
      </c>
      <c r="D652" s="13" t="n">
        <v>0.377233346129488</v>
      </c>
    </row>
    <row r="653" customFormat="false" ht="15" hidden="false" customHeight="false" outlineLevel="0" collapsed="false">
      <c r="B653" s="32" t="n">
        <v>1432133</v>
      </c>
      <c r="C653" s="13" t="n">
        <v>-3.66961387981338</v>
      </c>
      <c r="D653" s="13" t="n">
        <v>0.343196564378053</v>
      </c>
    </row>
    <row r="654" customFormat="false" ht="15" hidden="false" customHeight="false" outlineLevel="0" collapsed="false">
      <c r="B654" s="32" t="n">
        <v>1433195</v>
      </c>
      <c r="C654" s="13" t="n">
        <v>-3.05041887904002</v>
      </c>
      <c r="D654" s="13" t="n">
        <v>0.509874006572976</v>
      </c>
    </row>
    <row r="655" customFormat="false" ht="15" hidden="false" customHeight="false" outlineLevel="0" collapsed="false">
      <c r="B655" s="32" t="n">
        <v>1434588</v>
      </c>
      <c r="C655" s="13" t="n">
        <v>-3.66768598525489</v>
      </c>
      <c r="D655" s="13" t="n">
        <v>0.396380646383113</v>
      </c>
    </row>
    <row r="656" customFormat="false" ht="15" hidden="false" customHeight="false" outlineLevel="0" collapsed="false">
      <c r="B656" s="32" t="n">
        <v>1434621</v>
      </c>
      <c r="C656" s="13" t="n">
        <v>-3.84848273106926</v>
      </c>
      <c r="D656" s="13" t="n">
        <v>0.456493581068624</v>
      </c>
    </row>
    <row r="657" customFormat="false" ht="15" hidden="false" customHeight="false" outlineLevel="0" collapsed="false">
      <c r="B657" s="32" t="n">
        <v>1434868</v>
      </c>
      <c r="C657" s="13" t="n">
        <v>-2.37321723768764</v>
      </c>
      <c r="D657" s="13" t="n">
        <v>1.22020386446275</v>
      </c>
    </row>
    <row r="658" customFormat="false" ht="15" hidden="false" customHeight="false" outlineLevel="0" collapsed="false">
      <c r="B658" s="32" t="n">
        <v>1436208</v>
      </c>
      <c r="C658" s="13" t="n">
        <v>-1.77530150474057</v>
      </c>
      <c r="D658" s="13" t="n">
        <v>0.706737814166611</v>
      </c>
    </row>
    <row r="659" customFormat="false" ht="15" hidden="false" customHeight="false" outlineLevel="0" collapsed="false">
      <c r="B659" s="32" t="n">
        <v>1437226</v>
      </c>
      <c r="C659" s="13" t="n">
        <v>-3.62836961183932</v>
      </c>
      <c r="D659" s="13" t="n">
        <v>0.933452465470269</v>
      </c>
    </row>
    <row r="660" customFormat="false" ht="15" hidden="false" customHeight="false" outlineLevel="0" collapsed="false">
      <c r="B660" s="32" t="n">
        <v>1437352</v>
      </c>
      <c r="C660" s="13" t="n">
        <v>-3.16691821814927</v>
      </c>
      <c r="D660" s="13" t="n">
        <v>0.605920226266446</v>
      </c>
    </row>
    <row r="661" customFormat="false" ht="15" hidden="false" customHeight="false" outlineLevel="0" collapsed="false">
      <c r="B661" s="32" t="n">
        <v>1437402</v>
      </c>
      <c r="C661" s="13" t="n">
        <v>-0.491193555386387</v>
      </c>
      <c r="D661" s="13" t="n">
        <v>4.04640920701395</v>
      </c>
    </row>
    <row r="662" customFormat="false" ht="15" hidden="false" customHeight="false" outlineLevel="0" collapsed="false">
      <c r="B662" s="32" t="n">
        <v>1438133</v>
      </c>
      <c r="C662" s="13" t="n">
        <v>-4.18488245476956</v>
      </c>
      <c r="D662" s="13" t="n">
        <v>1.74622517846492</v>
      </c>
    </row>
    <row r="663" customFormat="false" ht="15" hidden="false" customHeight="false" outlineLevel="0" collapsed="false">
      <c r="B663" s="32" t="n">
        <v>1438423</v>
      </c>
      <c r="C663" s="13" t="n">
        <v>-2.73740510745272</v>
      </c>
      <c r="D663" s="13" t="n">
        <v>0.252401795875981</v>
      </c>
    </row>
    <row r="664" customFormat="false" ht="15" hidden="false" customHeight="false" outlineLevel="0" collapsed="false">
      <c r="B664" s="32" t="n">
        <v>1438533</v>
      </c>
      <c r="C664" s="13" t="n">
        <v>-1.33146499538127</v>
      </c>
      <c r="D664" s="13" t="n">
        <v>1.77794349646017</v>
      </c>
    </row>
    <row r="665" customFormat="false" ht="15" hidden="false" customHeight="false" outlineLevel="0" collapsed="false">
      <c r="B665" s="32" t="n">
        <v>1441816</v>
      </c>
      <c r="C665" s="13" t="n">
        <v>-2.78896402232122</v>
      </c>
      <c r="D665" s="13" t="n">
        <v>0.415805092118183</v>
      </c>
    </row>
    <row r="666" customFormat="false" ht="15" hidden="false" customHeight="false" outlineLevel="0" collapsed="false">
      <c r="B666" s="32" t="n">
        <v>1442145</v>
      </c>
      <c r="C666" s="13" t="n">
        <v>-2.71935535964926</v>
      </c>
      <c r="D666" s="13" t="n">
        <v>1.12576910718852</v>
      </c>
    </row>
    <row r="667" customFormat="false" ht="15" hidden="false" customHeight="false" outlineLevel="0" collapsed="false">
      <c r="B667" s="32" t="n">
        <v>1442236</v>
      </c>
      <c r="C667" s="13" t="n">
        <v>-2.48259990473476</v>
      </c>
      <c r="D667" s="13" t="n">
        <v>0.861875449120592</v>
      </c>
    </row>
    <row r="668" customFormat="false" ht="15" hidden="false" customHeight="false" outlineLevel="0" collapsed="false">
      <c r="B668" s="32" t="n">
        <v>1443646</v>
      </c>
      <c r="C668" s="13" t="n">
        <v>-2.22323396800607</v>
      </c>
      <c r="D668" s="13" t="n">
        <v>1.5996488719873</v>
      </c>
    </row>
    <row r="669" customFormat="false" ht="15" hidden="false" customHeight="false" outlineLevel="0" collapsed="false">
      <c r="B669" s="32" t="n">
        <v>1444380</v>
      </c>
      <c r="C669" s="13" t="n">
        <v>-1.35517202667506</v>
      </c>
      <c r="D669" s="13" t="n">
        <v>0.581181052247478</v>
      </c>
    </row>
    <row r="670" customFormat="false" ht="15" hidden="false" customHeight="false" outlineLevel="0" collapsed="false">
      <c r="B670" s="32" t="n">
        <v>1448431</v>
      </c>
      <c r="C670" s="13" t="n">
        <v>-2.70220717885171</v>
      </c>
      <c r="D670" s="13" t="n">
        <v>2.24235195424314</v>
      </c>
    </row>
    <row r="671" customFormat="false" ht="15" hidden="false" customHeight="false" outlineLevel="0" collapsed="false">
      <c r="B671" s="32" t="n">
        <v>1450704</v>
      </c>
      <c r="C671" s="13" t="n">
        <v>-3.32557756619532</v>
      </c>
      <c r="D671" s="13" t="n">
        <v>0.33391144723378</v>
      </c>
    </row>
    <row r="672" customFormat="false" ht="15" hidden="false" customHeight="false" outlineLevel="0" collapsed="false">
      <c r="B672" s="32" t="n">
        <v>1453593</v>
      </c>
      <c r="C672" s="13" t="n">
        <v>-0.764514013144625</v>
      </c>
      <c r="D672" s="13" t="n">
        <v>3.77562275578661</v>
      </c>
    </row>
    <row r="673" customFormat="false" ht="15" hidden="false" customHeight="false" outlineLevel="0" collapsed="false">
      <c r="B673" s="32" t="n">
        <v>1455684</v>
      </c>
      <c r="C673" s="13" t="n">
        <v>-1.62720816054337</v>
      </c>
      <c r="D673" s="13" t="n">
        <v>0.739443367876164</v>
      </c>
    </row>
    <row r="674" customFormat="false" ht="15" hidden="false" customHeight="false" outlineLevel="0" collapsed="false">
      <c r="B674" s="32" t="n">
        <v>1459200</v>
      </c>
      <c r="C674" s="13" t="n">
        <v>-2.63056333711576</v>
      </c>
      <c r="D674" s="13" t="n">
        <v>0.261650073564258</v>
      </c>
    </row>
    <row r="675" customFormat="false" ht="15" hidden="false" customHeight="false" outlineLevel="0" collapsed="false">
      <c r="B675" s="32" t="n">
        <v>1459417</v>
      </c>
      <c r="C675" s="13" t="n">
        <v>-2.75466906475795</v>
      </c>
      <c r="D675" s="13" t="n">
        <v>0.642604602147232</v>
      </c>
    </row>
    <row r="676" customFormat="false" ht="15" hidden="false" customHeight="false" outlineLevel="0" collapsed="false">
      <c r="B676" s="32" t="n">
        <v>1459839</v>
      </c>
      <c r="C676" s="13" t="n">
        <v>-2.98974002965432</v>
      </c>
      <c r="D676" s="13" t="n">
        <v>1.65260477547131</v>
      </c>
    </row>
    <row r="677" customFormat="false" ht="15" hidden="false" customHeight="false" outlineLevel="0" collapsed="false">
      <c r="B677" s="32" t="n">
        <v>1460329</v>
      </c>
      <c r="C677" s="13" t="n">
        <v>-7.04684892088653</v>
      </c>
      <c r="D677" s="13" t="n">
        <v>0.193039767329506</v>
      </c>
    </row>
    <row r="678" customFormat="false" ht="15" hidden="false" customHeight="false" outlineLevel="0" collapsed="false">
      <c r="B678" s="32" t="n">
        <v>1463101</v>
      </c>
      <c r="C678" s="13" t="n">
        <v>-2.83347480764846</v>
      </c>
      <c r="D678" s="13" t="n">
        <v>0.636739213957321</v>
      </c>
    </row>
    <row r="679" customFormat="false" ht="15" hidden="false" customHeight="false" outlineLevel="0" collapsed="false">
      <c r="B679" s="32" t="n">
        <v>1467623</v>
      </c>
      <c r="C679" s="13" t="n">
        <v>-2.80471695817895</v>
      </c>
      <c r="D679" s="13" t="n">
        <v>1.09159173839188</v>
      </c>
    </row>
    <row r="680" customFormat="false" ht="15" hidden="false" customHeight="false" outlineLevel="0" collapsed="false">
      <c r="B680" s="32" t="n">
        <v>1468328</v>
      </c>
      <c r="C680" s="13" t="n">
        <v>-2.72345068637091</v>
      </c>
      <c r="D680" s="13" t="n">
        <v>0.645255115522502</v>
      </c>
    </row>
    <row r="681" customFormat="false" ht="15" hidden="false" customHeight="false" outlineLevel="0" collapsed="false">
      <c r="B681" s="32" t="n">
        <v>1468666</v>
      </c>
      <c r="C681" s="13" t="n">
        <v>-2.83729290866239</v>
      </c>
      <c r="D681" s="13" t="n">
        <v>0.549894895223708</v>
      </c>
    </row>
    <row r="682" customFormat="false" ht="15" hidden="false" customHeight="false" outlineLevel="0" collapsed="false">
      <c r="B682" s="32" t="n">
        <v>1472072</v>
      </c>
      <c r="C682" s="13" t="n">
        <v>-2.23047226004795</v>
      </c>
      <c r="D682" s="13" t="n">
        <v>0.594797333738156</v>
      </c>
    </row>
    <row r="683" customFormat="false" ht="15" hidden="false" customHeight="false" outlineLevel="0" collapsed="false">
      <c r="B683" s="32" t="n">
        <v>1474432</v>
      </c>
      <c r="C683" s="13" t="n">
        <v>-3.16129670549866</v>
      </c>
      <c r="D683" s="13" t="n">
        <v>0.449811862256236</v>
      </c>
    </row>
    <row r="684" customFormat="false" ht="15" hidden="false" customHeight="false" outlineLevel="0" collapsed="false">
      <c r="B684" s="32" t="n">
        <v>1474735</v>
      </c>
      <c r="C684" s="13" t="n">
        <v>-2.7000318142203</v>
      </c>
      <c r="D684" s="13" t="n">
        <v>1.42151783549469</v>
      </c>
    </row>
    <row r="685" customFormat="false" ht="15" hidden="false" customHeight="false" outlineLevel="0" collapsed="false">
      <c r="B685" s="32" t="n">
        <v>1474903</v>
      </c>
      <c r="C685" s="13" t="n">
        <v>-3.96030485512306</v>
      </c>
      <c r="D685" s="13" t="n">
        <v>0.461736436207889</v>
      </c>
    </row>
    <row r="686" customFormat="false" ht="15" hidden="false" customHeight="false" outlineLevel="0" collapsed="false">
      <c r="B686" s="32" t="n">
        <v>1476840</v>
      </c>
      <c r="C686" s="13" t="n">
        <v>-2.60573217995301</v>
      </c>
      <c r="D686" s="13" t="n">
        <v>0.475682837342306</v>
      </c>
    </row>
    <row r="687" customFormat="false" ht="15" hidden="false" customHeight="false" outlineLevel="0" collapsed="false">
      <c r="B687" s="32" t="n">
        <v>1477246</v>
      </c>
      <c r="C687" s="13" t="n">
        <v>-1.62207061175303</v>
      </c>
      <c r="D687" s="13" t="n">
        <v>1.23112794494979</v>
      </c>
    </row>
    <row r="688" customFormat="false" ht="15" hidden="false" customHeight="false" outlineLevel="0" collapsed="false">
      <c r="B688" s="32" t="n">
        <v>1477333</v>
      </c>
      <c r="C688" s="13" t="n">
        <v>-2.80491581252411</v>
      </c>
      <c r="D688" s="13" t="n">
        <v>1.86967439507693</v>
      </c>
    </row>
    <row r="689" customFormat="false" ht="15" hidden="false" customHeight="false" outlineLevel="0" collapsed="false">
      <c r="B689" s="32" t="n">
        <v>1477720</v>
      </c>
      <c r="C689" s="13" t="n">
        <v>-3.59879453575343</v>
      </c>
      <c r="D689" s="13" t="n">
        <v>0.390958351835695</v>
      </c>
    </row>
    <row r="690" customFormat="false" ht="15" hidden="false" customHeight="false" outlineLevel="0" collapsed="false">
      <c r="B690" s="32" t="n">
        <v>1477815</v>
      </c>
      <c r="C690" s="13" t="n">
        <v>-3.26395155799348</v>
      </c>
      <c r="D690" s="13" t="n">
        <v>0.209803326325691</v>
      </c>
    </row>
    <row r="691" customFormat="false" ht="15" hidden="false" customHeight="false" outlineLevel="0" collapsed="false">
      <c r="B691" s="32" t="n">
        <v>1478320</v>
      </c>
      <c r="C691" s="13" t="n">
        <v>-2.91606725459205</v>
      </c>
      <c r="D691" s="13" t="n">
        <v>0.457847254808185</v>
      </c>
    </row>
    <row r="692" customFormat="false" ht="15" hidden="false" customHeight="false" outlineLevel="0" collapsed="false">
      <c r="B692" s="32" t="n">
        <v>1479290</v>
      </c>
      <c r="C692" s="13" t="n">
        <v>-2.5806609156938</v>
      </c>
      <c r="D692" s="13" t="n">
        <v>1.02394450011318</v>
      </c>
    </row>
    <row r="693" customFormat="false" ht="15" hidden="false" customHeight="false" outlineLevel="0" collapsed="false">
      <c r="B693" s="32" t="n">
        <v>1479681</v>
      </c>
      <c r="C693" s="13" t="n">
        <v>-3.36953897796427</v>
      </c>
      <c r="D693" s="13" t="n">
        <v>0.173413496841994</v>
      </c>
    </row>
    <row r="694" customFormat="false" ht="15" hidden="false" customHeight="false" outlineLevel="0" collapsed="false">
      <c r="B694" s="32" t="n">
        <v>1481646</v>
      </c>
      <c r="C694" s="13" t="n">
        <v>-2.86693154306036</v>
      </c>
      <c r="D694" s="13" t="n">
        <v>0.314660749912372</v>
      </c>
    </row>
    <row r="695" customFormat="false" ht="15" hidden="false" customHeight="false" outlineLevel="0" collapsed="false">
      <c r="B695" s="32" t="n">
        <v>1483994</v>
      </c>
      <c r="C695" s="13" t="n">
        <v>-2.78643580087285</v>
      </c>
      <c r="D695" s="13" t="n">
        <v>1.35952540069503</v>
      </c>
    </row>
    <row r="696" customFormat="false" ht="15" hidden="false" customHeight="false" outlineLevel="0" collapsed="false">
      <c r="B696" s="32" t="n">
        <v>1484612</v>
      </c>
      <c r="C696" s="13" t="n">
        <v>-3.2742190957844</v>
      </c>
      <c r="D696" s="13" t="n">
        <v>1.08131906497541</v>
      </c>
    </row>
    <row r="697" customFormat="false" ht="15" hidden="false" customHeight="false" outlineLevel="0" collapsed="false">
      <c r="B697" s="32" t="n">
        <v>1484769</v>
      </c>
      <c r="C697" s="13" t="n">
        <v>-2.31668901870738</v>
      </c>
      <c r="D697" s="13" t="n">
        <v>0.45506895916433</v>
      </c>
    </row>
    <row r="698" customFormat="false" ht="15" hidden="false" customHeight="false" outlineLevel="0" collapsed="false">
      <c r="B698" s="32" t="n">
        <v>1484778</v>
      </c>
      <c r="C698" s="13" t="n">
        <v>-3.31851420018044</v>
      </c>
      <c r="D698" s="13" t="n">
        <v>0.200171392275682</v>
      </c>
    </row>
    <row r="699" customFormat="false" ht="15" hidden="false" customHeight="false" outlineLevel="0" collapsed="false">
      <c r="B699" s="32" t="n">
        <v>1486159</v>
      </c>
      <c r="C699" s="13" t="n">
        <v>-3.06035509590517</v>
      </c>
      <c r="D699" s="13" t="n">
        <v>0.214412509416193</v>
      </c>
    </row>
    <row r="700" customFormat="false" ht="15" hidden="false" customHeight="false" outlineLevel="0" collapsed="false">
      <c r="B700" s="32" t="n">
        <v>1487952</v>
      </c>
      <c r="C700" s="13" t="n">
        <v>-2.67022801647211</v>
      </c>
      <c r="D700" s="13" t="n">
        <v>0.370654347072113</v>
      </c>
    </row>
    <row r="701" customFormat="false" ht="15" hidden="false" customHeight="false" outlineLevel="0" collapsed="false">
      <c r="B701" s="32" t="n">
        <v>1489096</v>
      </c>
      <c r="C701" s="13" t="n">
        <v>-2.28942512613607</v>
      </c>
      <c r="D701" s="13" t="n">
        <v>0.618159308690725</v>
      </c>
    </row>
    <row r="702" customFormat="false" ht="15" hidden="false" customHeight="false" outlineLevel="0" collapsed="false">
      <c r="B702" s="32" t="n">
        <v>1491419</v>
      </c>
      <c r="C702" s="13" t="n">
        <v>-3.52990814771082</v>
      </c>
      <c r="D702" s="13" t="n">
        <v>0.821646078322261</v>
      </c>
    </row>
    <row r="703" customFormat="false" ht="15" hidden="false" customHeight="false" outlineLevel="0" collapsed="false">
      <c r="B703" s="32" t="n">
        <v>1492422</v>
      </c>
      <c r="C703" s="13" t="n">
        <v>5.20345939841941</v>
      </c>
      <c r="D703" s="13" t="n">
        <v>0.922000123389518</v>
      </c>
    </row>
    <row r="704" customFormat="false" ht="15" hidden="false" customHeight="false" outlineLevel="0" collapsed="false">
      <c r="B704" s="32" t="n">
        <v>1492691</v>
      </c>
      <c r="C704" s="13" t="n">
        <v>-3.00529423091601</v>
      </c>
      <c r="D704" s="13" t="n">
        <v>1.03743841403077</v>
      </c>
    </row>
    <row r="705" customFormat="false" ht="15" hidden="false" customHeight="false" outlineLevel="0" collapsed="false">
      <c r="B705" s="32" t="n">
        <v>1493594</v>
      </c>
      <c r="C705" s="13" t="n">
        <v>-2.6258796035442</v>
      </c>
      <c r="D705" s="13" t="n">
        <v>0.652139855331998</v>
      </c>
    </row>
    <row r="706" customFormat="false" ht="15" hidden="false" customHeight="false" outlineLevel="0" collapsed="false">
      <c r="B706" s="32" t="n">
        <v>1493761</v>
      </c>
      <c r="C706" s="13" t="n">
        <v>-3.7990897140392</v>
      </c>
      <c r="D706" s="13" t="n">
        <v>0.41527193782534</v>
      </c>
    </row>
    <row r="707" customFormat="false" ht="15" hidden="false" customHeight="false" outlineLevel="0" collapsed="false">
      <c r="B707" s="32" t="n">
        <v>1494259</v>
      </c>
      <c r="C707" s="13" t="n">
        <v>-2.73570619408101</v>
      </c>
      <c r="D707" s="13" t="n">
        <v>0.308946620891542</v>
      </c>
    </row>
    <row r="708" customFormat="false" ht="15" hidden="false" customHeight="false" outlineLevel="0" collapsed="false">
      <c r="B708" s="32" t="n">
        <v>1494582</v>
      </c>
      <c r="C708" s="13" t="n">
        <v>-1.73381417958326</v>
      </c>
      <c r="D708" s="13" t="n">
        <v>1.55815133130121</v>
      </c>
    </row>
    <row r="709" customFormat="false" ht="15" hidden="false" customHeight="false" outlineLevel="0" collapsed="false">
      <c r="B709" s="32" t="n">
        <v>1495320</v>
      </c>
      <c r="C709" s="13" t="n">
        <v>-3.22949084631542</v>
      </c>
      <c r="D709" s="13" t="n">
        <v>0.259977609803812</v>
      </c>
    </row>
    <row r="710" customFormat="false" ht="15" hidden="false" customHeight="false" outlineLevel="0" collapsed="false">
      <c r="B710" s="32" t="n">
        <v>1495932</v>
      </c>
      <c r="C710" s="13" t="n">
        <v>-5.20030301112033</v>
      </c>
      <c r="D710" s="13" t="n">
        <v>0.364168877989984</v>
      </c>
    </row>
    <row r="711" customFormat="false" ht="15" hidden="false" customHeight="false" outlineLevel="0" collapsed="false">
      <c r="B711" s="32" t="n">
        <v>1496963</v>
      </c>
      <c r="C711" s="13" t="n">
        <v>-2.56371975250107</v>
      </c>
      <c r="D711" s="13" t="n">
        <v>0.822897901822506</v>
      </c>
    </row>
    <row r="712" customFormat="false" ht="15" hidden="false" customHeight="false" outlineLevel="0" collapsed="false">
      <c r="B712" s="32" t="n">
        <v>1499543</v>
      </c>
      <c r="C712" s="13" t="n">
        <v>-2.60246304036259</v>
      </c>
      <c r="D712" s="13" t="n">
        <v>0.217216349319074</v>
      </c>
    </row>
    <row r="713" customFormat="false" ht="15" hidden="false" customHeight="false" outlineLevel="0" collapsed="false">
      <c r="B713" s="32" t="n">
        <v>1499832</v>
      </c>
      <c r="C713" s="13" t="n">
        <v>-3.36639192018908</v>
      </c>
      <c r="D713" s="13" t="n">
        <v>0.427181673597407</v>
      </c>
    </row>
    <row r="714" customFormat="false" ht="15" hidden="false" customHeight="false" outlineLevel="0" collapsed="false">
      <c r="B714" s="32" t="n">
        <v>1500435</v>
      </c>
      <c r="C714" s="13" t="n">
        <v>-2.28268646216797</v>
      </c>
      <c r="D714" s="13" t="n">
        <v>1.29163802604939</v>
      </c>
    </row>
    <row r="715" customFormat="false" ht="15" hidden="false" customHeight="false" outlineLevel="0" collapsed="false">
      <c r="B715" s="32" t="n">
        <v>1501585</v>
      </c>
      <c r="C715" s="13" t="n">
        <v>-2.81080463494157</v>
      </c>
      <c r="D715" s="13" t="n">
        <v>0.38445236727296</v>
      </c>
    </row>
    <row r="716" customFormat="false" ht="15" hidden="false" customHeight="false" outlineLevel="0" collapsed="false">
      <c r="B716" s="32" t="n">
        <v>1501989</v>
      </c>
      <c r="C716" s="13" t="n">
        <v>-1.36287728992748</v>
      </c>
      <c r="D716" s="13" t="n">
        <v>1.9084288285634</v>
      </c>
    </row>
    <row r="717" customFormat="false" ht="15" hidden="false" customHeight="false" outlineLevel="0" collapsed="false">
      <c r="B717" s="32" t="n">
        <v>1503274</v>
      </c>
      <c r="C717" s="13" t="n">
        <v>-2.58578196770185</v>
      </c>
      <c r="D717" s="13" t="n">
        <v>0.374071641244905</v>
      </c>
    </row>
    <row r="718" customFormat="false" ht="15" hidden="false" customHeight="false" outlineLevel="0" collapsed="false">
      <c r="B718" s="32" t="n">
        <v>1504776</v>
      </c>
      <c r="C718" s="13" t="n">
        <v>-3.25027316205214</v>
      </c>
      <c r="D718" s="13" t="n">
        <v>0.190509332880097</v>
      </c>
    </row>
    <row r="719" customFormat="false" ht="15" hidden="false" customHeight="false" outlineLevel="0" collapsed="false">
      <c r="B719" s="32" t="n">
        <v>1505155</v>
      </c>
      <c r="C719" s="13" t="n">
        <v>-2.04763518295797</v>
      </c>
      <c r="D719" s="13" t="n">
        <v>0.801877179075506</v>
      </c>
    </row>
    <row r="720" customFormat="false" ht="15" hidden="false" customHeight="false" outlineLevel="0" collapsed="false">
      <c r="B720" s="32" t="n">
        <v>1505952</v>
      </c>
      <c r="C720" s="13" t="n">
        <v>-4.28008100125091</v>
      </c>
      <c r="D720" s="13" t="n">
        <v>0.760864376006836</v>
      </c>
    </row>
    <row r="721" customFormat="false" ht="15" hidden="false" customHeight="false" outlineLevel="0" collapsed="false">
      <c r="B721" s="32" t="n">
        <v>1506293</v>
      </c>
      <c r="C721" s="13" t="n">
        <v>-3.31053660756223</v>
      </c>
      <c r="D721" s="13" t="n">
        <v>0.360924647018268</v>
      </c>
    </row>
    <row r="722" customFormat="false" ht="15" hidden="false" customHeight="false" outlineLevel="0" collapsed="false">
      <c r="B722" s="32" t="n">
        <v>1509223</v>
      </c>
      <c r="C722" s="13" t="n">
        <v>-2.74910959204248</v>
      </c>
      <c r="D722" s="13" t="n">
        <v>0.122911892898755</v>
      </c>
    </row>
    <row r="723" customFormat="false" ht="15" hidden="false" customHeight="false" outlineLevel="0" collapsed="false">
      <c r="B723" s="32" t="n">
        <v>1510593</v>
      </c>
      <c r="C723" s="13" t="n">
        <v>-2.60797885128543</v>
      </c>
      <c r="D723" s="13" t="n">
        <v>0.297131435492276</v>
      </c>
    </row>
    <row r="724" customFormat="false" ht="15" hidden="false" customHeight="false" outlineLevel="0" collapsed="false">
      <c r="B724" s="32" t="n">
        <v>1511737</v>
      </c>
      <c r="C724" s="13" t="n">
        <v>-0.371251342478669</v>
      </c>
      <c r="D724" s="13" t="n">
        <v>0.760477436327977</v>
      </c>
    </row>
    <row r="725" customFormat="false" ht="15" hidden="false" customHeight="false" outlineLevel="0" collapsed="false">
      <c r="B725" s="32" t="n">
        <v>1512673</v>
      </c>
      <c r="C725" s="13" t="n">
        <v>-2.42445573220407</v>
      </c>
      <c r="D725" s="13" t="n">
        <v>0.555430428293695</v>
      </c>
    </row>
    <row r="726" customFormat="false" ht="15" hidden="false" customHeight="false" outlineLevel="0" collapsed="false">
      <c r="B726" s="32" t="n">
        <v>1514705</v>
      </c>
      <c r="C726" s="13" t="n">
        <v>-3.1258513266481</v>
      </c>
      <c r="D726" s="13" t="n">
        <v>0.149921869444632</v>
      </c>
    </row>
    <row r="727" customFormat="false" ht="15" hidden="false" customHeight="false" outlineLevel="0" collapsed="false">
      <c r="B727" s="32" t="n">
        <v>1515673</v>
      </c>
      <c r="C727" s="13" t="n">
        <v>-2.20776641952045</v>
      </c>
      <c r="D727" s="13" t="n">
        <v>0.353250938889144</v>
      </c>
    </row>
    <row r="728" customFormat="false" ht="15" hidden="false" customHeight="false" outlineLevel="0" collapsed="false">
      <c r="B728" s="32" t="n">
        <v>1516513</v>
      </c>
      <c r="C728" s="13" t="n">
        <v>-2.42053250133583</v>
      </c>
      <c r="D728" s="13" t="n">
        <v>0.559924332417637</v>
      </c>
    </row>
    <row r="729" customFormat="false" ht="15" hidden="false" customHeight="false" outlineLevel="0" collapsed="false">
      <c r="B729" s="32" t="n">
        <v>1517022</v>
      </c>
      <c r="C729" s="13" t="n">
        <v>-2.85617592337401</v>
      </c>
      <c r="D729" s="13" t="n">
        <v>0.451320378395405</v>
      </c>
    </row>
    <row r="730" customFormat="false" ht="15" hidden="false" customHeight="false" outlineLevel="0" collapsed="false">
      <c r="B730" s="32" t="n">
        <v>1517175</v>
      </c>
      <c r="C730" s="13" t="n">
        <v>-2.2715804960809</v>
      </c>
      <c r="D730" s="13" t="n">
        <v>0.692858066330894</v>
      </c>
    </row>
    <row r="731" customFormat="false" ht="15" hidden="false" customHeight="false" outlineLevel="0" collapsed="false">
      <c r="B731" s="32" t="n">
        <v>1517228</v>
      </c>
      <c r="C731" s="13" t="n">
        <v>-3.7619933672515</v>
      </c>
      <c r="D731" s="13" t="n">
        <v>0.409860967683705</v>
      </c>
    </row>
    <row r="732" customFormat="false" ht="15" hidden="false" customHeight="false" outlineLevel="0" collapsed="false">
      <c r="B732" s="32" t="n">
        <v>1517375</v>
      </c>
      <c r="C732" s="13" t="n">
        <v>-1.94530656407165</v>
      </c>
      <c r="D732" s="13" t="n">
        <v>0.746738923893716</v>
      </c>
    </row>
    <row r="733" customFormat="false" ht="15" hidden="false" customHeight="false" outlineLevel="0" collapsed="false">
      <c r="B733" s="32" t="n">
        <v>1517396</v>
      </c>
      <c r="C733" s="13" t="n">
        <v>-2.47074029151925</v>
      </c>
      <c r="D733" s="13" t="n">
        <v>0.502299050679614</v>
      </c>
    </row>
    <row r="734" customFormat="false" ht="15" hidden="false" customHeight="false" outlineLevel="0" collapsed="false">
      <c r="B734" s="32" t="n">
        <v>1520697</v>
      </c>
      <c r="C734" s="13" t="n">
        <v>-2.88387568460258</v>
      </c>
      <c r="D734" s="13" t="n">
        <v>0.334280929374009</v>
      </c>
    </row>
    <row r="735" customFormat="false" ht="15" hidden="false" customHeight="false" outlineLevel="0" collapsed="false">
      <c r="B735" s="32" t="n">
        <v>1521036</v>
      </c>
      <c r="C735" s="13" t="n">
        <v>-1.91680457356623</v>
      </c>
      <c r="D735" s="13" t="n">
        <v>0.792470022556996</v>
      </c>
    </row>
    <row r="736" customFormat="false" ht="15" hidden="false" customHeight="false" outlineLevel="0" collapsed="false">
      <c r="B736" s="32" t="n">
        <v>1521332</v>
      </c>
      <c r="C736" s="13" t="n">
        <v>-2.27016782058798</v>
      </c>
      <c r="D736" s="13" t="n">
        <v>0.491018025878553</v>
      </c>
    </row>
    <row r="737" customFormat="false" ht="15" hidden="false" customHeight="false" outlineLevel="0" collapsed="false">
      <c r="B737" s="32" t="n">
        <v>1522540</v>
      </c>
      <c r="C737" s="13" t="n">
        <v>1.57197016278536</v>
      </c>
      <c r="D737" s="13" t="n">
        <v>0.211111201262907</v>
      </c>
    </row>
    <row r="738" customFormat="false" ht="15" hidden="false" customHeight="false" outlineLevel="0" collapsed="false">
      <c r="B738" s="32" t="n">
        <v>1522767</v>
      </c>
      <c r="C738" s="13" t="n">
        <v>-2.31656921261557</v>
      </c>
      <c r="D738" s="13" t="n">
        <v>0.3218584183517</v>
      </c>
    </row>
    <row r="739" customFormat="false" ht="15" hidden="false" customHeight="false" outlineLevel="0" collapsed="false">
      <c r="B739" s="32" t="n">
        <v>1524472</v>
      </c>
      <c r="C739" s="13" t="n">
        <v>-1.92450500886174</v>
      </c>
      <c r="D739" s="13" t="n">
        <v>1.0171175366398</v>
      </c>
    </row>
    <row r="740" customFormat="false" ht="15" hidden="false" customHeight="false" outlineLevel="0" collapsed="false">
      <c r="B740" s="32" t="n">
        <v>1524741</v>
      </c>
      <c r="C740" s="13" t="n">
        <v>-2.51793800014005</v>
      </c>
      <c r="D740" s="13" t="n">
        <v>0.203685456476188</v>
      </c>
    </row>
    <row r="741" customFormat="false" ht="15" hidden="false" customHeight="false" outlineLevel="0" collapsed="false">
      <c r="B741" s="32" t="n">
        <v>1524931</v>
      </c>
      <c r="C741" s="13" t="n">
        <v>-2.83621030474678</v>
      </c>
      <c r="D741" s="13" t="n">
        <v>0.242617199796501</v>
      </c>
    </row>
    <row r="742" customFormat="false" ht="15" hidden="false" customHeight="false" outlineLevel="0" collapsed="false">
      <c r="B742" s="32" t="n">
        <v>1526520</v>
      </c>
      <c r="C742" s="13" t="n">
        <v>-2.933345038982</v>
      </c>
      <c r="D742" s="13" t="n">
        <v>0.281781074351007</v>
      </c>
    </row>
    <row r="743" customFormat="false" ht="15" hidden="false" customHeight="false" outlineLevel="0" collapsed="false">
      <c r="B743" s="32" t="n">
        <v>1527508</v>
      </c>
      <c r="C743" s="13" t="n">
        <v>-2.92115716910829</v>
      </c>
      <c r="D743" s="13" t="n">
        <v>0.445655585256274</v>
      </c>
    </row>
    <row r="744" customFormat="false" ht="15" hidden="false" customHeight="false" outlineLevel="0" collapsed="false">
      <c r="B744" s="32" t="n">
        <v>1527753</v>
      </c>
      <c r="C744" s="13" t="n">
        <v>-3.89492832501286</v>
      </c>
      <c r="D744" s="13" t="n">
        <v>0.699090025261033</v>
      </c>
    </row>
    <row r="745" customFormat="false" ht="15" hidden="false" customHeight="false" outlineLevel="0" collapsed="false">
      <c r="B745" s="32" t="n">
        <v>1528129</v>
      </c>
      <c r="C745" s="13" t="n">
        <v>-1.03372860060532</v>
      </c>
      <c r="D745" s="13" t="n">
        <v>0.573035578986154</v>
      </c>
    </row>
    <row r="746" customFormat="false" ht="15" hidden="false" customHeight="false" outlineLevel="0" collapsed="false">
      <c r="B746" s="32" t="n">
        <v>1528287</v>
      </c>
      <c r="C746" s="13" t="n">
        <v>-2.54559322819413</v>
      </c>
      <c r="D746" s="13" t="n">
        <v>0.476225832668357</v>
      </c>
    </row>
    <row r="747" customFormat="false" ht="15" hidden="false" customHeight="false" outlineLevel="0" collapsed="false">
      <c r="B747" s="32" t="n">
        <v>1528356</v>
      </c>
      <c r="C747" s="13" t="n">
        <v>-0.904190368913508</v>
      </c>
      <c r="D747" s="13" t="n">
        <v>0.298011078318094</v>
      </c>
    </row>
    <row r="748" customFormat="false" ht="15" hidden="false" customHeight="false" outlineLevel="0" collapsed="false">
      <c r="B748" s="32" t="n">
        <v>1529274</v>
      </c>
      <c r="C748" s="13" t="n">
        <v>-2.4330718866575</v>
      </c>
      <c r="D748" s="13" t="n">
        <v>0.681081502177012</v>
      </c>
    </row>
    <row r="749" customFormat="false" ht="15" hidden="false" customHeight="false" outlineLevel="0" collapsed="false">
      <c r="B749" s="32" t="n">
        <v>1529628</v>
      </c>
      <c r="C749" s="13" t="n">
        <v>-3.24495709770347</v>
      </c>
      <c r="D749" s="13" t="n">
        <v>0.15860244115555</v>
      </c>
    </row>
    <row r="750" customFormat="false" ht="15" hidden="false" customHeight="false" outlineLevel="0" collapsed="false">
      <c r="B750" s="32" t="n">
        <v>1530804</v>
      </c>
      <c r="C750" s="13" t="n">
        <v>-2.86970727620304</v>
      </c>
      <c r="D750" s="13" t="n">
        <v>1.04310566275938</v>
      </c>
    </row>
    <row r="751" customFormat="false" ht="15" hidden="false" customHeight="false" outlineLevel="0" collapsed="false">
      <c r="B751" s="32" t="n">
        <v>1531048</v>
      </c>
      <c r="C751" s="13" t="n">
        <v>-0.864225005645021</v>
      </c>
      <c r="D751" s="13" t="n">
        <v>0.712165465337773</v>
      </c>
    </row>
    <row r="752" customFormat="false" ht="15" hidden="false" customHeight="false" outlineLevel="0" collapsed="false">
      <c r="B752" s="32" t="n">
        <v>1531177</v>
      </c>
      <c r="C752" s="13" t="n">
        <v>-2.54565097451632</v>
      </c>
      <c r="D752" s="13" t="n">
        <v>0.14162243854163</v>
      </c>
    </row>
    <row r="753" customFormat="false" ht="15" hidden="false" customHeight="false" outlineLevel="0" collapsed="false">
      <c r="B753" s="32" t="n">
        <v>1531978</v>
      </c>
      <c r="C753" s="13" t="n">
        <v>-2.45091100474835</v>
      </c>
      <c r="D753" s="13" t="n">
        <v>0.892902496035516</v>
      </c>
    </row>
    <row r="754" customFormat="false" ht="15" hidden="false" customHeight="false" outlineLevel="0" collapsed="false">
      <c r="B754" s="32" t="n">
        <v>1532286</v>
      </c>
      <c r="C754" s="13" t="n">
        <v>-3.53740655615674</v>
      </c>
      <c r="D754" s="13" t="n">
        <v>0.399565055234476</v>
      </c>
    </row>
    <row r="755" customFormat="false" ht="15" hidden="false" customHeight="false" outlineLevel="0" collapsed="false">
      <c r="B755" s="32" t="n">
        <v>1533924</v>
      </c>
      <c r="C755" s="13" t="n">
        <v>1.86485883857027</v>
      </c>
      <c r="D755" s="13" t="n">
        <v>0.21912439149932</v>
      </c>
    </row>
    <row r="756" customFormat="false" ht="15" hidden="false" customHeight="false" outlineLevel="0" collapsed="false">
      <c r="B756" s="32" t="n">
        <v>1534675</v>
      </c>
      <c r="C756" s="13" t="n">
        <v>-2.16401733001634</v>
      </c>
      <c r="D756" s="13" t="n">
        <v>0.383083530278331</v>
      </c>
    </row>
    <row r="757" customFormat="false" ht="15" hidden="false" customHeight="false" outlineLevel="0" collapsed="false">
      <c r="B757" s="32" t="n">
        <v>1537054</v>
      </c>
      <c r="C757" s="13" t="n">
        <v>-2.12295818842718</v>
      </c>
      <c r="D757" s="13" t="n">
        <v>0.447373070819792</v>
      </c>
    </row>
    <row r="758" customFormat="false" ht="15" hidden="false" customHeight="false" outlineLevel="0" collapsed="false">
      <c r="B758" s="32" t="n">
        <v>1539838</v>
      </c>
      <c r="C758" s="13" t="n">
        <v>-3.02129299513179</v>
      </c>
      <c r="D758" s="13" t="n">
        <v>0.122967310134297</v>
      </c>
    </row>
    <row r="759" customFormat="false" ht="15" hidden="false" customHeight="false" outlineLevel="0" collapsed="false">
      <c r="B759" s="32" t="n">
        <v>1539850</v>
      </c>
      <c r="C759" s="13" t="n">
        <v>0.747071576718093</v>
      </c>
      <c r="D759" s="13" t="n">
        <v>10.2530864537132</v>
      </c>
    </row>
    <row r="760" customFormat="false" ht="15" hidden="false" customHeight="false" outlineLevel="0" collapsed="false">
      <c r="B760" s="32" t="n">
        <v>1543151</v>
      </c>
      <c r="C760" s="13" t="n">
        <v>-2.43060455871759</v>
      </c>
      <c r="D760" s="13" t="n">
        <v>1.25768127290343</v>
      </c>
    </row>
    <row r="761" customFormat="false" ht="15" hidden="false" customHeight="false" outlineLevel="0" collapsed="false">
      <c r="B761" s="32" t="n">
        <v>1544522</v>
      </c>
      <c r="C761" s="13" t="n">
        <v>-2.97318899884968</v>
      </c>
      <c r="D761" s="13" t="n">
        <v>0.338881858452369</v>
      </c>
    </row>
    <row r="762" customFormat="false" ht="15" hidden="false" customHeight="false" outlineLevel="0" collapsed="false">
      <c r="B762" s="32" t="n">
        <v>1547459</v>
      </c>
      <c r="C762" s="13" t="n">
        <v>-2.66397564289656</v>
      </c>
      <c r="D762" s="13" t="n">
        <v>0.416102444488679</v>
      </c>
    </row>
    <row r="763" customFormat="false" ht="15" hidden="false" customHeight="false" outlineLevel="0" collapsed="false">
      <c r="B763" s="32" t="n">
        <v>1549346</v>
      </c>
      <c r="C763" s="13" t="n">
        <v>-2.30770447086608</v>
      </c>
      <c r="D763" s="13" t="n">
        <v>0.601987950742254</v>
      </c>
    </row>
    <row r="764" customFormat="false" ht="15" hidden="false" customHeight="false" outlineLevel="0" collapsed="false">
      <c r="B764" s="32" t="n">
        <v>1549922</v>
      </c>
      <c r="C764" s="13" t="n">
        <v>-2.76905133673236</v>
      </c>
      <c r="D764" s="13" t="n">
        <v>0.188191227870329</v>
      </c>
    </row>
    <row r="765" customFormat="false" ht="15" hidden="false" customHeight="false" outlineLevel="0" collapsed="false">
      <c r="B765" s="32" t="n">
        <v>1550695</v>
      </c>
      <c r="C765" s="13" t="n">
        <v>-2.6860817387247</v>
      </c>
      <c r="D765" s="13" t="n">
        <v>0.597683096929603</v>
      </c>
    </row>
    <row r="766" customFormat="false" ht="15" hidden="false" customHeight="false" outlineLevel="0" collapsed="false">
      <c r="B766" s="32" t="n">
        <v>1551306</v>
      </c>
      <c r="C766" s="13" t="n">
        <v>-3.24757582739328</v>
      </c>
      <c r="D766" s="13" t="n">
        <v>0.760466635976472</v>
      </c>
    </row>
    <row r="767" customFormat="false" ht="15" hidden="false" customHeight="false" outlineLevel="0" collapsed="false">
      <c r="B767" s="32" t="n">
        <v>1552033</v>
      </c>
      <c r="C767" s="13" t="n">
        <v>-2.66594297560547</v>
      </c>
      <c r="D767" s="13" t="n">
        <v>1.91408595201495</v>
      </c>
    </row>
    <row r="768" customFormat="false" ht="15" hidden="false" customHeight="false" outlineLevel="0" collapsed="false">
      <c r="B768" s="32" t="n">
        <v>1552800</v>
      </c>
      <c r="C768" s="13" t="n">
        <v>-3.2013783427663</v>
      </c>
      <c r="D768" s="13" t="n">
        <v>0.428534667054558</v>
      </c>
    </row>
    <row r="769" customFormat="false" ht="15" hidden="false" customHeight="false" outlineLevel="0" collapsed="false">
      <c r="B769" s="32" t="n">
        <v>1555279</v>
      </c>
      <c r="C769" s="13" t="n">
        <v>-2.60285009290935</v>
      </c>
      <c r="D769" s="13" t="n">
        <v>0.257865145277088</v>
      </c>
    </row>
    <row r="770" customFormat="false" ht="15" hidden="false" customHeight="false" outlineLevel="0" collapsed="false">
      <c r="B770" s="32" t="n">
        <v>1555280</v>
      </c>
      <c r="C770" s="13" t="n">
        <v>-2.3585034116347</v>
      </c>
      <c r="D770" s="13" t="n">
        <v>0.40760457456779</v>
      </c>
    </row>
    <row r="771" customFormat="false" ht="15" hidden="false" customHeight="false" outlineLevel="0" collapsed="false">
      <c r="B771" s="32" t="n">
        <v>1556898</v>
      </c>
      <c r="C771" s="13" t="n">
        <v>-3.43211771431007</v>
      </c>
      <c r="D771" s="13" t="n">
        <v>0.592344138571919</v>
      </c>
    </row>
    <row r="772" customFormat="false" ht="15" hidden="false" customHeight="false" outlineLevel="0" collapsed="false">
      <c r="B772" s="32" t="n">
        <v>1559865</v>
      </c>
      <c r="C772" s="13" t="n">
        <v>-2.69621030803763</v>
      </c>
      <c r="D772" s="13" t="n">
        <v>1.7821965931091</v>
      </c>
    </row>
    <row r="773" customFormat="false" ht="15" hidden="false" customHeight="false" outlineLevel="0" collapsed="false">
      <c r="B773" s="32" t="n">
        <v>1560241</v>
      </c>
      <c r="C773" s="13" t="n">
        <v>-3.2371887756597</v>
      </c>
      <c r="D773" s="13" t="n">
        <v>0.397632037452667</v>
      </c>
    </row>
    <row r="774" customFormat="false" ht="15" hidden="false" customHeight="false" outlineLevel="0" collapsed="false">
      <c r="B774" s="32" t="n">
        <v>1561550</v>
      </c>
      <c r="C774" s="13" t="n">
        <v>-3.03702922924152</v>
      </c>
      <c r="D774" s="13" t="n">
        <v>0.721729215756667</v>
      </c>
    </row>
    <row r="775" customFormat="false" ht="15" hidden="false" customHeight="false" outlineLevel="0" collapsed="false">
      <c r="B775" s="32" t="n">
        <v>1562088</v>
      </c>
      <c r="C775" s="13" t="n">
        <v>-2.58868758304674</v>
      </c>
      <c r="D775" s="13" t="n">
        <v>0.161663852423268</v>
      </c>
    </row>
    <row r="776" customFormat="false" ht="15" hidden="false" customHeight="false" outlineLevel="0" collapsed="false">
      <c r="B776" s="32" t="n">
        <v>1562151</v>
      </c>
      <c r="C776" s="13" t="n">
        <v>-2.50625448539294</v>
      </c>
      <c r="D776" s="13" t="n">
        <v>0.220533218753927</v>
      </c>
    </row>
    <row r="777" customFormat="false" ht="15" hidden="false" customHeight="false" outlineLevel="0" collapsed="false">
      <c r="B777" s="32" t="n">
        <v>1563190</v>
      </c>
      <c r="C777" s="13" t="n">
        <v>-3.49494121795112</v>
      </c>
      <c r="D777" s="13" t="n">
        <v>0.389265593472587</v>
      </c>
    </row>
    <row r="778" customFormat="false" ht="15" hidden="false" customHeight="false" outlineLevel="0" collapsed="false">
      <c r="B778" s="32" t="n">
        <v>1564180</v>
      </c>
      <c r="C778" s="13" t="n">
        <v>-3.32405433746409</v>
      </c>
      <c r="D778" s="13" t="n">
        <v>0.286149848797632</v>
      </c>
    </row>
    <row r="779" customFormat="false" ht="15" hidden="false" customHeight="false" outlineLevel="0" collapsed="false">
      <c r="B779" s="32" t="n">
        <v>1564408</v>
      </c>
      <c r="C779" s="13" t="n">
        <v>-3.175251297255</v>
      </c>
      <c r="D779" s="13" t="n">
        <v>0.407289986707784</v>
      </c>
    </row>
    <row r="780" customFormat="false" ht="15" hidden="false" customHeight="false" outlineLevel="0" collapsed="false">
      <c r="B780" s="32" t="n">
        <v>1564902</v>
      </c>
      <c r="C780" s="13" t="n">
        <v>-2.93899767176995</v>
      </c>
      <c r="D780" s="13" t="n">
        <v>0.157271306651561</v>
      </c>
    </row>
    <row r="781" customFormat="false" ht="15" hidden="false" customHeight="false" outlineLevel="0" collapsed="false">
      <c r="B781" s="32" t="n">
        <v>1565687</v>
      </c>
      <c r="C781" s="13" t="n">
        <v>-3.06892425762411</v>
      </c>
      <c r="D781" s="13" t="n">
        <v>0.434234687293127</v>
      </c>
    </row>
    <row r="782" customFormat="false" ht="15" hidden="false" customHeight="false" outlineLevel="0" collapsed="false">
      <c r="B782" s="32" t="n">
        <v>1567514</v>
      </c>
      <c r="C782" s="13" t="n">
        <v>-0.839819125196764</v>
      </c>
      <c r="D782" s="13" t="n">
        <v>0.504153922028124</v>
      </c>
    </row>
    <row r="783" customFormat="false" ht="15" hidden="false" customHeight="false" outlineLevel="0" collapsed="false">
      <c r="B783" s="32" t="n">
        <v>1568100</v>
      </c>
      <c r="C783" s="13" t="n">
        <v>-3.16710222006965</v>
      </c>
      <c r="D783" s="13" t="n">
        <v>0.279496161310284</v>
      </c>
    </row>
    <row r="784" customFormat="false" ht="15" hidden="false" customHeight="false" outlineLevel="0" collapsed="false">
      <c r="B784" s="32" t="n">
        <v>1570562</v>
      </c>
      <c r="C784" s="13" t="n">
        <v>-2.91538606889461</v>
      </c>
      <c r="D784" s="13" t="n">
        <v>0.944848207821423</v>
      </c>
    </row>
    <row r="785" customFormat="false" ht="15" hidden="false" customHeight="false" outlineLevel="0" collapsed="false">
      <c r="B785" s="32" t="n">
        <v>1571996</v>
      </c>
      <c r="C785" s="13" t="n">
        <v>-3.04531660532731</v>
      </c>
      <c r="D785" s="13" t="n">
        <v>1.29470034761021</v>
      </c>
    </row>
    <row r="786" customFormat="false" ht="15" hidden="false" customHeight="false" outlineLevel="0" collapsed="false">
      <c r="B786" s="32" t="n">
        <v>1573221</v>
      </c>
      <c r="C786" s="13" t="n">
        <v>1762.24437588438</v>
      </c>
      <c r="D786" s="13" t="n">
        <v>2.64474734919068E-013</v>
      </c>
    </row>
    <row r="787" customFormat="false" ht="15" hidden="false" customHeight="false" outlineLevel="0" collapsed="false">
      <c r="B787" s="32" t="n">
        <v>1575828</v>
      </c>
      <c r="C787" s="13" t="n">
        <v>-2.76607019400192</v>
      </c>
      <c r="D787" s="13" t="n">
        <v>1.20319037123825</v>
      </c>
    </row>
    <row r="788" customFormat="false" ht="15" hidden="false" customHeight="false" outlineLevel="0" collapsed="false">
      <c r="B788" s="32" t="n">
        <v>1576280</v>
      </c>
      <c r="C788" s="13" t="n">
        <v>-2.89744072892695</v>
      </c>
      <c r="D788" s="13" t="n">
        <v>0.321624435567057</v>
      </c>
    </row>
    <row r="789" customFormat="false" ht="15" hidden="false" customHeight="false" outlineLevel="0" collapsed="false">
      <c r="B789" s="32" t="n">
        <v>1576427</v>
      </c>
      <c r="C789" s="13" t="n">
        <v>-2.8018079294917</v>
      </c>
      <c r="D789" s="13" t="n">
        <v>1.48174878293108</v>
      </c>
    </row>
    <row r="790" customFormat="false" ht="15" hidden="false" customHeight="false" outlineLevel="0" collapsed="false">
      <c r="B790" s="32" t="n">
        <v>1576789</v>
      </c>
      <c r="C790" s="13" t="n">
        <v>-2.58908730382008</v>
      </c>
      <c r="D790" s="13" t="n">
        <v>0.250169936747396</v>
      </c>
    </row>
    <row r="791" customFormat="false" ht="15" hidden="false" customHeight="false" outlineLevel="0" collapsed="false">
      <c r="B791" s="32" t="n">
        <v>1577526</v>
      </c>
      <c r="C791" s="13" t="n">
        <v>-3.3153678483255</v>
      </c>
      <c r="D791" s="13" t="n">
        <v>1.83026971463079</v>
      </c>
    </row>
    <row r="792" customFormat="false" ht="15" hidden="false" customHeight="false" outlineLevel="0" collapsed="false">
      <c r="B792" s="32" t="n">
        <v>1579091</v>
      </c>
      <c r="C792" s="13" t="n">
        <v>-4.40250324659169</v>
      </c>
      <c r="D792" s="13" t="n">
        <v>0.31371244109551</v>
      </c>
    </row>
    <row r="793" customFormat="false" ht="15" hidden="false" customHeight="false" outlineLevel="0" collapsed="false">
      <c r="B793" s="32" t="n">
        <v>1579684</v>
      </c>
      <c r="C793" s="13" t="n">
        <v>-2.77842196317215</v>
      </c>
      <c r="D793" s="13" t="n">
        <v>0.502799065384159</v>
      </c>
    </row>
    <row r="794" customFormat="false" ht="15" hidden="false" customHeight="false" outlineLevel="0" collapsed="false">
      <c r="B794" s="32" t="n">
        <v>1579733</v>
      </c>
      <c r="C794" s="13" t="n">
        <v>-2.67050686824418</v>
      </c>
      <c r="D794" s="13" t="n">
        <v>0.219779856013661</v>
      </c>
    </row>
    <row r="795" customFormat="false" ht="15" hidden="false" customHeight="false" outlineLevel="0" collapsed="false">
      <c r="B795" s="32" t="n">
        <v>1579877</v>
      </c>
      <c r="C795" s="13" t="n">
        <v>-3.17569624717758</v>
      </c>
      <c r="D795" s="13" t="n">
        <v>1.59362434834312</v>
      </c>
    </row>
    <row r="796" customFormat="false" ht="15" hidden="false" customHeight="false" outlineLevel="0" collapsed="false">
      <c r="B796" s="32" t="n">
        <v>1580560</v>
      </c>
      <c r="C796" s="13" t="n">
        <v>-2.63982837479472</v>
      </c>
      <c r="D796" s="13" t="n">
        <v>0.615691810039372</v>
      </c>
    </row>
    <row r="797" customFormat="false" ht="15" hidden="false" customHeight="false" outlineLevel="0" collapsed="false">
      <c r="B797" s="32" t="n">
        <v>1580808</v>
      </c>
      <c r="C797" s="13" t="n">
        <v>-2.49616744683036</v>
      </c>
      <c r="D797" s="13" t="n">
        <v>0.390359296777385</v>
      </c>
    </row>
    <row r="798" customFormat="false" ht="15" hidden="false" customHeight="false" outlineLevel="0" collapsed="false">
      <c r="B798" s="32" t="n">
        <v>1580864</v>
      </c>
      <c r="C798" s="13" t="n">
        <v>-2.94637986150327</v>
      </c>
      <c r="D798" s="13" t="n">
        <v>1.32428999150689</v>
      </c>
    </row>
    <row r="799" customFormat="false" ht="15" hidden="false" customHeight="false" outlineLevel="0" collapsed="false">
      <c r="B799" s="32" t="n">
        <v>1581760</v>
      </c>
      <c r="C799" s="13" t="n">
        <v>-2.74157495042071</v>
      </c>
      <c r="D799" s="13" t="n">
        <v>0.4528336429165</v>
      </c>
    </row>
    <row r="800" customFormat="false" ht="15" hidden="false" customHeight="false" outlineLevel="0" collapsed="false">
      <c r="B800" s="32" t="n">
        <v>1581804</v>
      </c>
      <c r="C800" s="13" t="n">
        <v>-1.93291718120696</v>
      </c>
      <c r="D800" s="13" t="n">
        <v>0.137869993095365</v>
      </c>
    </row>
    <row r="801" customFormat="false" ht="15" hidden="false" customHeight="false" outlineLevel="0" collapsed="false">
      <c r="B801" s="32" t="n">
        <v>1582961</v>
      </c>
      <c r="C801" s="13" t="n">
        <v>-2.91723394914525</v>
      </c>
      <c r="D801" s="13" t="n">
        <v>0.24846342802727</v>
      </c>
    </row>
    <row r="802" customFormat="false" ht="15" hidden="false" customHeight="false" outlineLevel="0" collapsed="false">
      <c r="B802" s="32" t="n">
        <v>1583708</v>
      </c>
      <c r="C802" s="13" t="n">
        <v>-2.86154754238727</v>
      </c>
      <c r="D802" s="13" t="n">
        <v>1.67124120610857</v>
      </c>
    </row>
    <row r="803" customFormat="false" ht="15" hidden="false" customHeight="false" outlineLevel="0" collapsed="false">
      <c r="B803" s="32" t="n">
        <v>1584549</v>
      </c>
      <c r="C803" s="13" t="n">
        <v>-2.84859353524707</v>
      </c>
      <c r="D803" s="13" t="n">
        <v>0.221391694686752</v>
      </c>
    </row>
    <row r="804" customFormat="false" ht="15" hidden="false" customHeight="false" outlineLevel="0" collapsed="false">
      <c r="B804" s="32" t="n">
        <v>1585364</v>
      </c>
      <c r="C804" s="13" t="n">
        <v>-2.68048160775219</v>
      </c>
      <c r="D804" s="13" t="n">
        <v>1.48133466136731</v>
      </c>
    </row>
    <row r="805" customFormat="false" ht="15" hidden="false" customHeight="false" outlineLevel="0" collapsed="false">
      <c r="B805" s="32" t="n">
        <v>1585521</v>
      </c>
      <c r="C805" s="13" t="n">
        <v>-2.95912439189112</v>
      </c>
      <c r="D805" s="13" t="n">
        <v>0.54013429080181</v>
      </c>
    </row>
    <row r="806" customFormat="false" ht="15" hidden="false" customHeight="false" outlineLevel="0" collapsed="false">
      <c r="B806" s="32" t="n">
        <v>1585689</v>
      </c>
      <c r="C806" s="13" t="n">
        <v>-2.60778779873641</v>
      </c>
      <c r="D806" s="13" t="n">
        <v>0.639179545114819</v>
      </c>
    </row>
    <row r="807" customFormat="false" ht="15" hidden="false" customHeight="false" outlineLevel="0" collapsed="false">
      <c r="B807" s="32" t="n">
        <v>1588972</v>
      </c>
      <c r="C807" s="13" t="n">
        <v>-2.62297648489547</v>
      </c>
      <c r="D807" s="13" t="n">
        <v>0.351681702977987</v>
      </c>
    </row>
    <row r="808" customFormat="false" ht="15" hidden="false" customHeight="false" outlineLevel="0" collapsed="false">
      <c r="B808" s="32" t="n">
        <v>1588978</v>
      </c>
      <c r="C808" s="13" t="n">
        <v>0.233489393704598</v>
      </c>
      <c r="D808" s="13" t="n">
        <v>0.814182590411136</v>
      </c>
    </row>
    <row r="809" customFormat="false" ht="15" hidden="false" customHeight="false" outlineLevel="0" collapsed="false">
      <c r="B809" s="32" t="n">
        <v>1590584</v>
      </c>
      <c r="C809" s="13" t="n">
        <v>-2.79222256100688</v>
      </c>
      <c r="D809" s="13" t="n">
        <v>0.297440277140237</v>
      </c>
    </row>
    <row r="810" customFormat="false" ht="15" hidden="false" customHeight="false" outlineLevel="0" collapsed="false">
      <c r="B810" s="32" t="n">
        <v>1590877</v>
      </c>
      <c r="C810" s="13" t="n">
        <v>-3.35103491623618</v>
      </c>
      <c r="D810" s="13" t="n">
        <v>0.362262344250522</v>
      </c>
    </row>
    <row r="811" customFormat="false" ht="15" hidden="false" customHeight="false" outlineLevel="0" collapsed="false">
      <c r="B811" s="32" t="n">
        <v>1590955</v>
      </c>
      <c r="C811" s="13" t="n">
        <v>-2.7570354594405</v>
      </c>
      <c r="D811" s="13" t="n">
        <v>0.542207197614023</v>
      </c>
    </row>
    <row r="812" customFormat="false" ht="15" hidden="false" customHeight="false" outlineLevel="0" collapsed="false">
      <c r="B812" s="32" t="n">
        <v>1590976</v>
      </c>
      <c r="C812" s="13" t="n">
        <v>-3.20497470561424</v>
      </c>
      <c r="D812" s="13" t="n">
        <v>0.380635752760127</v>
      </c>
    </row>
    <row r="813" customFormat="false" ht="15" hidden="false" customHeight="false" outlineLevel="0" collapsed="false">
      <c r="B813" s="32" t="n">
        <v>1591698</v>
      </c>
      <c r="C813" s="13" t="n">
        <v>-2.35061579484106</v>
      </c>
      <c r="D813" s="13" t="n">
        <v>0.651704823057203</v>
      </c>
    </row>
    <row r="814" customFormat="false" ht="15" hidden="false" customHeight="false" outlineLevel="0" collapsed="false">
      <c r="B814" s="32" t="n">
        <v>1592057</v>
      </c>
      <c r="C814" s="13" t="n">
        <v>-5.10559301630332</v>
      </c>
      <c r="D814" s="13" t="n">
        <v>0.173149667031596</v>
      </c>
    </row>
    <row r="815" customFormat="false" ht="15" hidden="false" customHeight="false" outlineLevel="0" collapsed="false">
      <c r="B815" s="32" t="n">
        <v>1593548</v>
      </c>
      <c r="C815" s="13" t="n">
        <v>-2.94431495072484</v>
      </c>
      <c r="D815" s="13" t="n">
        <v>0.528362839256294</v>
      </c>
    </row>
    <row r="816" customFormat="false" ht="15" hidden="false" customHeight="false" outlineLevel="0" collapsed="false">
      <c r="B816" s="32" t="n">
        <v>1595974</v>
      </c>
      <c r="C816" s="13" t="n">
        <v>-2.83437490308688</v>
      </c>
      <c r="D816" s="13" t="n">
        <v>0.633335325536944</v>
      </c>
    </row>
    <row r="817" customFormat="false" ht="15" hidden="false" customHeight="false" outlineLevel="0" collapsed="false">
      <c r="B817" s="32" t="n">
        <v>1596532</v>
      </c>
      <c r="C817" s="13" t="n">
        <v>-3.34807619874892</v>
      </c>
      <c r="D817" s="13" t="n">
        <v>0.657908215858929</v>
      </c>
    </row>
    <row r="818" customFormat="false" ht="15" hidden="false" customHeight="false" outlineLevel="0" collapsed="false">
      <c r="B818" s="32" t="n">
        <v>1596783</v>
      </c>
      <c r="C818" s="13" t="n">
        <v>-2.57741605602479</v>
      </c>
      <c r="D818" s="13" t="n">
        <v>0.315097796568666</v>
      </c>
    </row>
    <row r="819" customFormat="false" ht="15" hidden="false" customHeight="false" outlineLevel="0" collapsed="false">
      <c r="B819" s="32" t="n">
        <v>1596856</v>
      </c>
      <c r="C819" s="13" t="n">
        <v>-2.50777832132195</v>
      </c>
      <c r="D819" s="13" t="n">
        <v>0.267492925813006</v>
      </c>
    </row>
    <row r="820" customFormat="false" ht="15" hidden="false" customHeight="false" outlineLevel="0" collapsed="false">
      <c r="B820" s="32" t="n">
        <v>1596993</v>
      </c>
      <c r="C820" s="13" t="n">
        <v>-2.30427878276408</v>
      </c>
      <c r="D820" s="13" t="n">
        <v>0.157440244212311</v>
      </c>
    </row>
    <row r="821" customFormat="false" ht="15" hidden="false" customHeight="false" outlineLevel="0" collapsed="false">
      <c r="B821" s="32" t="n">
        <v>1597095</v>
      </c>
      <c r="C821" s="13" t="n">
        <v>-2.88756435700036</v>
      </c>
      <c r="D821" s="13" t="n">
        <v>0.43967011600294</v>
      </c>
    </row>
    <row r="822" customFormat="false" ht="15" hidden="false" customHeight="false" outlineLevel="0" collapsed="false">
      <c r="B822" s="32" t="n">
        <v>1597553</v>
      </c>
      <c r="C822" s="13" t="n">
        <v>6.26512231517416</v>
      </c>
      <c r="D822" s="13" t="n">
        <v>0.560327081556225</v>
      </c>
    </row>
    <row r="823" customFormat="false" ht="15" hidden="false" customHeight="false" outlineLevel="0" collapsed="false">
      <c r="B823" s="32" t="n">
        <v>1597835</v>
      </c>
      <c r="C823" s="13" t="n">
        <v>-2.92557514843168</v>
      </c>
      <c r="D823" s="13" t="n">
        <v>0.309325738113761</v>
      </c>
    </row>
    <row r="824" customFormat="false" ht="15" hidden="false" customHeight="false" outlineLevel="0" collapsed="false">
      <c r="B824" s="32" t="n">
        <v>1598110</v>
      </c>
      <c r="C824" s="13" t="n">
        <v>-2.75122045980303</v>
      </c>
      <c r="D824" s="13" t="n">
        <v>0.571960730854513</v>
      </c>
    </row>
    <row r="825" customFormat="false" ht="15" hidden="false" customHeight="false" outlineLevel="0" collapsed="false">
      <c r="B825" s="32" t="n">
        <v>1598428</v>
      </c>
      <c r="C825" s="13" t="n">
        <v>-2.72895541809267</v>
      </c>
      <c r="D825" s="13" t="n">
        <v>0.224247982128288</v>
      </c>
    </row>
    <row r="826" customFormat="false" ht="15" hidden="false" customHeight="false" outlineLevel="0" collapsed="false">
      <c r="B826" s="32" t="n">
        <v>1600033</v>
      </c>
      <c r="C826" s="13" t="n">
        <v>-1.74428399904019</v>
      </c>
      <c r="D826" s="13" t="n">
        <v>3.36707185753168</v>
      </c>
    </row>
    <row r="827" customFormat="false" ht="15" hidden="false" customHeight="false" outlineLevel="0" collapsed="false">
      <c r="B827" s="32" t="n">
        <v>1600641</v>
      </c>
      <c r="C827" s="13" t="n">
        <v>-3.07146143296136</v>
      </c>
      <c r="D827" s="13" t="n">
        <v>0.700453007962998</v>
      </c>
    </row>
    <row r="828" customFormat="false" ht="15" hidden="false" customHeight="false" outlineLevel="0" collapsed="false">
      <c r="B828" s="32" t="n">
        <v>1601046</v>
      </c>
      <c r="C828" s="13" t="n">
        <v>-2.67469917504792</v>
      </c>
      <c r="D828" s="13" t="n">
        <v>0.448643744254975</v>
      </c>
    </row>
    <row r="829" customFormat="false" ht="15" hidden="false" customHeight="false" outlineLevel="0" collapsed="false">
      <c r="B829" s="32" t="n">
        <v>1603145</v>
      </c>
      <c r="C829" s="13" t="n">
        <v>-2.71951104613951</v>
      </c>
      <c r="D829" s="13" t="n">
        <v>0.544776521166344</v>
      </c>
    </row>
    <row r="830" customFormat="false" ht="15" hidden="false" customHeight="false" outlineLevel="0" collapsed="false">
      <c r="B830" s="32" t="n">
        <v>1603652</v>
      </c>
      <c r="C830" s="13" t="n">
        <v>3.10797780836288</v>
      </c>
      <c r="D830" s="13" t="n">
        <v>3.10810847976908</v>
      </c>
    </row>
    <row r="831" customFormat="false" ht="15" hidden="false" customHeight="false" outlineLevel="0" collapsed="false">
      <c r="B831" s="32" t="n">
        <v>1603993</v>
      </c>
      <c r="C831" s="13" t="n">
        <v>-2.46217267101671</v>
      </c>
      <c r="D831" s="13" t="n">
        <v>0.365497729232356</v>
      </c>
    </row>
    <row r="832" customFormat="false" ht="15" hidden="false" customHeight="false" outlineLevel="0" collapsed="false">
      <c r="B832" s="32" t="n">
        <v>1604778</v>
      </c>
      <c r="C832" s="13" t="n">
        <v>-2.95211004271218</v>
      </c>
      <c r="D832" s="13" t="n">
        <v>0.374117455763942</v>
      </c>
    </row>
    <row r="833" customFormat="false" ht="15" hidden="false" customHeight="false" outlineLevel="0" collapsed="false">
      <c r="B833" s="32" t="n">
        <v>1604868</v>
      </c>
      <c r="C833" s="13" t="n">
        <v>-3.4177569843531</v>
      </c>
      <c r="D833" s="13" t="n">
        <v>0.29937619718473</v>
      </c>
    </row>
    <row r="834" customFormat="false" ht="15" hidden="false" customHeight="false" outlineLevel="0" collapsed="false">
      <c r="B834" s="32" t="n">
        <v>1605888</v>
      </c>
      <c r="C834" s="13" t="n">
        <v>4545.58401134696</v>
      </c>
      <c r="D834" s="13" t="n">
        <v>10.329231115736</v>
      </c>
    </row>
    <row r="835" customFormat="false" ht="15" hidden="false" customHeight="false" outlineLevel="0" collapsed="false">
      <c r="B835" s="32" t="n">
        <v>1609151</v>
      </c>
      <c r="C835" s="13" t="n">
        <v>-3.43087759513476</v>
      </c>
      <c r="D835" s="13" t="n">
        <v>0.389633398323602</v>
      </c>
    </row>
    <row r="836" customFormat="false" ht="15" hidden="false" customHeight="false" outlineLevel="0" collapsed="false">
      <c r="B836" s="32" t="n">
        <v>1609550</v>
      </c>
      <c r="C836" s="13" t="n">
        <v>-1.89788867122467</v>
      </c>
      <c r="D836" s="13" t="n">
        <v>0.695021188914691</v>
      </c>
    </row>
    <row r="837" customFormat="false" ht="15" hidden="false" customHeight="false" outlineLevel="0" collapsed="false">
      <c r="B837" s="32" t="n">
        <v>1610250</v>
      </c>
      <c r="C837" s="13" t="n">
        <v>-2.92558486232831</v>
      </c>
      <c r="D837" s="13" t="n">
        <v>0.477080069961643</v>
      </c>
    </row>
    <row r="838" customFormat="false" ht="15" hidden="false" customHeight="false" outlineLevel="0" collapsed="false">
      <c r="B838" s="32" t="n">
        <v>1611052</v>
      </c>
      <c r="C838" s="13" t="n">
        <v>-2.93463288218378</v>
      </c>
      <c r="D838" s="13" t="n">
        <v>0.514481814330541</v>
      </c>
    </row>
    <row r="839" customFormat="false" ht="15" hidden="false" customHeight="false" outlineLevel="0" collapsed="false">
      <c r="B839" s="32" t="n">
        <v>1611647</v>
      </c>
      <c r="C839" s="13" t="n">
        <v>-2.86997691828098</v>
      </c>
      <c r="D839" s="13" t="n">
        <v>0.115343479555815</v>
      </c>
    </row>
    <row r="840" customFormat="false" ht="15" hidden="false" customHeight="false" outlineLevel="0" collapsed="false">
      <c r="B840" s="32" t="n">
        <v>1613103</v>
      </c>
      <c r="C840" s="13" t="n">
        <v>-2.70045241323913</v>
      </c>
      <c r="D840" s="13" t="n">
        <v>1.80076564237411</v>
      </c>
    </row>
    <row r="841" customFormat="false" ht="15" hidden="false" customHeight="false" outlineLevel="0" collapsed="false">
      <c r="B841" s="32" t="n">
        <v>1614178</v>
      </c>
      <c r="C841" s="13" t="n">
        <v>-3.0097183875451</v>
      </c>
      <c r="D841" s="13" t="n">
        <v>0.240055853982082</v>
      </c>
    </row>
    <row r="842" customFormat="false" ht="15" hidden="false" customHeight="false" outlineLevel="0" collapsed="false">
      <c r="B842" s="32" t="n">
        <v>1615165</v>
      </c>
      <c r="C842" s="13" t="n">
        <v>-2.41020120528107</v>
      </c>
      <c r="D842" s="13" t="n">
        <v>0.594062408342089</v>
      </c>
    </row>
    <row r="843" customFormat="false" ht="15" hidden="false" customHeight="false" outlineLevel="0" collapsed="false">
      <c r="B843" s="32" t="n">
        <v>1616533</v>
      </c>
      <c r="C843" s="13" t="n">
        <v>-3.73670186776129</v>
      </c>
      <c r="D843" s="13" t="n">
        <v>0.727119151218928</v>
      </c>
    </row>
    <row r="844" customFormat="false" ht="15" hidden="false" customHeight="false" outlineLevel="0" collapsed="false">
      <c r="B844" s="32" t="n">
        <v>1616707</v>
      </c>
      <c r="C844" s="13" t="n">
        <v>-4.45629321485286</v>
      </c>
      <c r="D844" s="13" t="n">
        <v>0.165348496665463</v>
      </c>
    </row>
    <row r="845" customFormat="false" ht="15" hidden="false" customHeight="false" outlineLevel="0" collapsed="false">
      <c r="B845" s="32" t="n">
        <v>1616862</v>
      </c>
      <c r="C845" s="13" t="n">
        <v>-2.56272533842599</v>
      </c>
      <c r="D845" s="13" t="n">
        <v>1.28315081571435</v>
      </c>
    </row>
    <row r="846" customFormat="false" ht="15" hidden="false" customHeight="false" outlineLevel="0" collapsed="false">
      <c r="B846" s="32" t="n">
        <v>1617553</v>
      </c>
      <c r="C846" s="13" t="n">
        <v>-3.13180486208153</v>
      </c>
      <c r="D846" s="13" t="n">
        <v>0.261134903000256</v>
      </c>
    </row>
    <row r="847" customFormat="false" ht="15" hidden="false" customHeight="false" outlineLevel="0" collapsed="false">
      <c r="B847" s="32" t="n">
        <v>1617640</v>
      </c>
      <c r="C847" s="13" t="n">
        <v>-3.27708633254309</v>
      </c>
      <c r="D847" s="13" t="n">
        <v>0.432306787833385</v>
      </c>
    </row>
    <row r="848" customFormat="false" ht="15" hidden="false" customHeight="false" outlineLevel="0" collapsed="false">
      <c r="B848" s="32" t="n">
        <v>1618732</v>
      </c>
      <c r="C848" s="13" t="n">
        <v>-0.222220434446946</v>
      </c>
      <c r="D848" s="13" t="n">
        <v>0.177026894076031</v>
      </c>
    </row>
    <row r="849" customFormat="false" ht="15" hidden="false" customHeight="false" outlineLevel="0" collapsed="false">
      <c r="B849" s="32" t="n">
        <v>1619762</v>
      </c>
      <c r="C849" s="13" t="n">
        <v>-3.15257298229439</v>
      </c>
      <c r="D849" s="13" t="n">
        <v>0.609024521881245</v>
      </c>
    </row>
    <row r="850" customFormat="false" ht="15" hidden="false" customHeight="false" outlineLevel="0" collapsed="false">
      <c r="B850" s="32" t="n">
        <v>1620533</v>
      </c>
      <c r="C850" s="13" t="n">
        <v>-2.64012436784267</v>
      </c>
      <c r="D850" s="13" t="n">
        <v>0.296564243269164</v>
      </c>
    </row>
    <row r="851" customFormat="false" ht="15" hidden="false" customHeight="false" outlineLevel="0" collapsed="false">
      <c r="B851" s="32" t="n">
        <v>1621227</v>
      </c>
      <c r="C851" s="13" t="n">
        <v>-1.72576653573346</v>
      </c>
      <c r="D851" s="13" t="n">
        <v>0.570772910464221</v>
      </c>
    </row>
    <row r="852" customFormat="false" ht="15" hidden="false" customHeight="false" outlineLevel="0" collapsed="false">
      <c r="B852" s="32" t="n">
        <v>1621434</v>
      </c>
      <c r="C852" s="13" t="n">
        <v>-3.23177380877844</v>
      </c>
      <c r="D852" s="13" t="n">
        <v>0.112618381812212</v>
      </c>
    </row>
    <row r="853" customFormat="false" ht="15" hidden="false" customHeight="false" outlineLevel="0" collapsed="false">
      <c r="B853" s="32" t="n">
        <v>1622879</v>
      </c>
      <c r="C853" s="13" t="n">
        <v>-3.08574717918507</v>
      </c>
      <c r="D853" s="13" t="n">
        <v>0.596550804643717</v>
      </c>
    </row>
    <row r="854" customFormat="false" ht="15" hidden="false" customHeight="false" outlineLevel="0" collapsed="false">
      <c r="B854" s="32" t="n">
        <v>1624512</v>
      </c>
      <c r="C854" s="13" t="n">
        <v>-4.0468622546757</v>
      </c>
      <c r="D854" s="13" t="n">
        <v>0.525186641332145</v>
      </c>
    </row>
    <row r="855" customFormat="false" ht="15" hidden="false" customHeight="false" outlineLevel="0" collapsed="false">
      <c r="B855" s="32" t="n">
        <v>1624794</v>
      </c>
      <c r="C855" s="13" t="n">
        <v>-2.70908151156097</v>
      </c>
      <c r="D855" s="13" t="n">
        <v>0.605257725808106</v>
      </c>
    </row>
    <row r="856" customFormat="false" ht="15" hidden="false" customHeight="false" outlineLevel="0" collapsed="false">
      <c r="B856" s="32" t="n">
        <v>1625414</v>
      </c>
      <c r="C856" s="13" t="n">
        <v>-2.8233429544487</v>
      </c>
      <c r="D856" s="13" t="n">
        <v>0.401808464077606</v>
      </c>
    </row>
    <row r="857" customFormat="false" ht="15" hidden="false" customHeight="false" outlineLevel="0" collapsed="false">
      <c r="B857" s="32" t="n">
        <v>1625791</v>
      </c>
      <c r="C857" s="13" t="n">
        <v>-2.02739951540618</v>
      </c>
      <c r="D857" s="13" t="n">
        <v>0.604285531007778</v>
      </c>
    </row>
    <row r="858" customFormat="false" ht="15" hidden="false" customHeight="false" outlineLevel="0" collapsed="false">
      <c r="B858" s="32" t="n">
        <v>1626199</v>
      </c>
      <c r="C858" s="13" t="n">
        <v>-1.69212995516824</v>
      </c>
      <c r="D858" s="13" t="n">
        <v>1.92341439088393</v>
      </c>
    </row>
    <row r="859" customFormat="false" ht="15" hidden="false" customHeight="false" outlineLevel="0" collapsed="false">
      <c r="B859" s="32" t="n">
        <v>1626450</v>
      </c>
      <c r="C859" s="13" t="n">
        <v>-2.83674091841343</v>
      </c>
      <c r="D859" s="13" t="n">
        <v>0.46036983021042</v>
      </c>
    </row>
    <row r="860" customFormat="false" ht="15" hidden="false" customHeight="false" outlineLevel="0" collapsed="false">
      <c r="B860" s="32" t="n">
        <v>1627223</v>
      </c>
      <c r="C860" s="13" t="n">
        <v>-3.13177015308691</v>
      </c>
      <c r="D860" s="13" t="n">
        <v>0.258661949973807</v>
      </c>
    </row>
    <row r="861" customFormat="false" ht="15" hidden="false" customHeight="false" outlineLevel="0" collapsed="false">
      <c r="B861" s="32" t="n">
        <v>1627475</v>
      </c>
      <c r="C861" s="13" t="n">
        <v>-1.94672845543283</v>
      </c>
      <c r="D861" s="13" t="n">
        <v>0.667287228242495</v>
      </c>
    </row>
    <row r="862" customFormat="false" ht="15" hidden="false" customHeight="false" outlineLevel="0" collapsed="false">
      <c r="B862" s="32" t="n">
        <v>1628908</v>
      </c>
      <c r="C862" s="13" t="n">
        <v>-2.3924596169893</v>
      </c>
      <c r="D862" s="13" t="n">
        <v>2.65748007789475</v>
      </c>
    </row>
    <row r="863" customFormat="false" ht="15" hidden="false" customHeight="false" outlineLevel="0" collapsed="false">
      <c r="B863" s="32" t="n">
        <v>1630627</v>
      </c>
      <c r="C863" s="13" t="n">
        <v>-2.07493872466789</v>
      </c>
      <c r="D863" s="13" t="n">
        <v>0.91831708936952</v>
      </c>
    </row>
    <row r="864" customFormat="false" ht="15" hidden="false" customHeight="false" outlineLevel="0" collapsed="false">
      <c r="B864" s="32" t="n">
        <v>1630805</v>
      </c>
      <c r="C864" s="13" t="n">
        <v>-3.18329313986949</v>
      </c>
      <c r="D864" s="13" t="n">
        <v>0.396229230545116</v>
      </c>
    </row>
    <row r="865" customFormat="false" ht="15" hidden="false" customHeight="false" outlineLevel="0" collapsed="false">
      <c r="B865" s="32" t="n">
        <v>1632790</v>
      </c>
      <c r="C865" s="13" t="n">
        <v>-2.72617087228721</v>
      </c>
      <c r="D865" s="13" t="n">
        <v>0.50366280108767</v>
      </c>
    </row>
    <row r="866" customFormat="false" ht="15" hidden="false" customHeight="false" outlineLevel="0" collapsed="false">
      <c r="B866" s="32" t="n">
        <v>1633917</v>
      </c>
      <c r="C866" s="13" t="n">
        <v>-2.4589653504259</v>
      </c>
      <c r="D866" s="13" t="n">
        <v>1.56300663810983</v>
      </c>
    </row>
    <row r="867" customFormat="false" ht="15" hidden="false" customHeight="false" outlineLevel="0" collapsed="false">
      <c r="B867" s="32" t="n">
        <v>1633931</v>
      </c>
      <c r="C867" s="13" t="n">
        <v>-2.75147126881485</v>
      </c>
      <c r="D867" s="13" t="n">
        <v>0.467513805690549</v>
      </c>
    </row>
    <row r="868" customFormat="false" ht="15" hidden="false" customHeight="false" outlineLevel="0" collapsed="false">
      <c r="B868" s="32" t="n">
        <v>1636222</v>
      </c>
      <c r="C868" s="13" t="n">
        <v>-2.82433029469526</v>
      </c>
      <c r="D868" s="13" t="n">
        <v>0.313429071704357</v>
      </c>
    </row>
    <row r="869" customFormat="false" ht="15" hidden="false" customHeight="false" outlineLevel="0" collapsed="false">
      <c r="B869" s="32" t="n">
        <v>1636422</v>
      </c>
      <c r="C869" s="13" t="n">
        <v>-2.84540174894223</v>
      </c>
      <c r="D869" s="13" t="n">
        <v>0.494455356657478</v>
      </c>
    </row>
    <row r="870" customFormat="false" ht="15" hidden="false" customHeight="false" outlineLevel="0" collapsed="false">
      <c r="B870" s="32" t="n">
        <v>1637873</v>
      </c>
      <c r="C870" s="13" t="n">
        <v>-2.64340880468821</v>
      </c>
      <c r="D870" s="13" t="n">
        <v>1.39559525393184</v>
      </c>
    </row>
    <row r="871" customFormat="false" ht="15" hidden="false" customHeight="false" outlineLevel="0" collapsed="false">
      <c r="B871" s="32" t="n">
        <v>1638290</v>
      </c>
      <c r="C871" s="13" t="n">
        <v>-3.09010468823193</v>
      </c>
      <c r="D871" s="13" t="n">
        <v>0.381383417057389</v>
      </c>
    </row>
    <row r="872" customFormat="false" ht="15" hidden="false" customHeight="false" outlineLevel="0" collapsed="false">
      <c r="B872" s="32" t="n">
        <v>1639300</v>
      </c>
      <c r="C872" s="13" t="n">
        <v>-2.74729898320959</v>
      </c>
      <c r="D872" s="13" t="n">
        <v>0.48137645077551</v>
      </c>
    </row>
    <row r="873" customFormat="false" ht="15" hidden="false" customHeight="false" outlineLevel="0" collapsed="false">
      <c r="B873" s="32" t="n">
        <v>1639438</v>
      </c>
      <c r="C873" s="13" t="n">
        <v>-2.84730967189961</v>
      </c>
      <c r="D873" s="13" t="n">
        <v>0.574572374508589</v>
      </c>
    </row>
    <row r="874" customFormat="false" ht="15" hidden="false" customHeight="false" outlineLevel="0" collapsed="false">
      <c r="B874" s="32" t="n">
        <v>1639691</v>
      </c>
      <c r="C874" s="13" t="n">
        <v>-2.43474075023736</v>
      </c>
      <c r="D874" s="13" t="n">
        <v>1.47578966766077</v>
      </c>
    </row>
    <row r="875" customFormat="false" ht="15" hidden="false" customHeight="false" outlineLevel="0" collapsed="false">
      <c r="B875" s="32" t="n">
        <v>1639825</v>
      </c>
      <c r="C875" s="13" t="n">
        <v>-4.08536249368993</v>
      </c>
      <c r="D875" s="13" t="n">
        <v>0.18873992483129</v>
      </c>
    </row>
    <row r="876" customFormat="false" ht="15" hidden="false" customHeight="false" outlineLevel="0" collapsed="false">
      <c r="B876" s="32" t="n">
        <v>1640147</v>
      </c>
      <c r="C876" s="13" t="n">
        <v>-3.26433305046545</v>
      </c>
      <c r="D876" s="13" t="n">
        <v>0.456217858384299</v>
      </c>
    </row>
    <row r="877" customFormat="false" ht="15" hidden="false" customHeight="false" outlineLevel="0" collapsed="false">
      <c r="B877" s="32" t="n">
        <v>1640428</v>
      </c>
      <c r="C877" s="13" t="n">
        <v>-4.86046287191593</v>
      </c>
      <c r="D877" s="13" t="n">
        <v>0.274134691133988</v>
      </c>
    </row>
    <row r="878" customFormat="false" ht="15" hidden="false" customHeight="false" outlineLevel="0" collapsed="false">
      <c r="B878" s="32" t="n">
        <v>1642453</v>
      </c>
      <c r="C878" s="13" t="n">
        <v>-3.17918535086491</v>
      </c>
      <c r="D878" s="13" t="n">
        <v>0.246242913613795</v>
      </c>
    </row>
    <row r="879" customFormat="false" ht="15" hidden="false" customHeight="false" outlineLevel="0" collapsed="false">
      <c r="B879" s="32" t="n">
        <v>1642545</v>
      </c>
      <c r="C879" s="13" t="n">
        <v>-2.0631078531673</v>
      </c>
      <c r="D879" s="13" t="n">
        <v>0.72061644754569</v>
      </c>
    </row>
    <row r="880" customFormat="false" ht="15" hidden="false" customHeight="false" outlineLevel="0" collapsed="false">
      <c r="B880" s="32" t="n">
        <v>1642896</v>
      </c>
      <c r="C880" s="13" t="n">
        <v>-2.93629324930813</v>
      </c>
      <c r="D880" s="13" t="n">
        <v>0.687841926487418</v>
      </c>
    </row>
    <row r="881" customFormat="false" ht="15" hidden="false" customHeight="false" outlineLevel="0" collapsed="false">
      <c r="B881" s="32" t="n">
        <v>1643615</v>
      </c>
      <c r="C881" s="13" t="n">
        <v>-2.82069239800578</v>
      </c>
      <c r="D881" s="13" t="n">
        <v>0.694118104033486</v>
      </c>
    </row>
    <row r="882" customFormat="false" ht="15" hidden="false" customHeight="false" outlineLevel="0" collapsed="false">
      <c r="B882" s="32" t="n">
        <v>1643953</v>
      </c>
      <c r="C882" s="13" t="n">
        <v>-3.24260349053968</v>
      </c>
      <c r="D882" s="13" t="n">
        <v>0.335512385331608</v>
      </c>
    </row>
    <row r="883" customFormat="false" ht="15" hidden="false" customHeight="false" outlineLevel="0" collapsed="false">
      <c r="B883" s="32" t="n">
        <v>1645070</v>
      </c>
      <c r="C883" s="13" t="n">
        <v>-2.79639248674994</v>
      </c>
      <c r="D883" s="13" t="n">
        <v>1.88667963982635</v>
      </c>
    </row>
    <row r="884" customFormat="false" ht="15" hidden="false" customHeight="false" outlineLevel="0" collapsed="false">
      <c r="B884" s="32" t="n">
        <v>1645113</v>
      </c>
      <c r="C884" s="13" t="n">
        <v>-3.12552776460498</v>
      </c>
      <c r="D884" s="13" t="n">
        <v>1.11616133919029</v>
      </c>
    </row>
    <row r="885" customFormat="false" ht="15" hidden="false" customHeight="false" outlineLevel="0" collapsed="false">
      <c r="B885" s="32" t="n">
        <v>1648257</v>
      </c>
      <c r="C885" s="13" t="n">
        <v>-2.79607728472948</v>
      </c>
      <c r="D885" s="13" t="n">
        <v>1.05460404069385</v>
      </c>
    </row>
    <row r="886" customFormat="false" ht="15" hidden="false" customHeight="false" outlineLevel="0" collapsed="false">
      <c r="B886" s="32" t="n">
        <v>1649744</v>
      </c>
      <c r="C886" s="13" t="n">
        <v>-2.90712866167069</v>
      </c>
      <c r="D886" s="13" t="n">
        <v>0.361007864051226</v>
      </c>
    </row>
    <row r="887" customFormat="false" ht="15" hidden="false" customHeight="false" outlineLevel="0" collapsed="false">
      <c r="B887" s="32" t="n">
        <v>1649904</v>
      </c>
      <c r="C887" s="13" t="n">
        <v>0.115599550144768</v>
      </c>
      <c r="D887" s="13" t="n">
        <v>2.28860281054604</v>
      </c>
    </row>
    <row r="888" customFormat="false" ht="15" hidden="false" customHeight="false" outlineLevel="0" collapsed="false">
      <c r="B888" s="32" t="n">
        <v>1650164</v>
      </c>
      <c r="C888" s="13" t="n">
        <v>-3.51610171428677</v>
      </c>
      <c r="D888" s="13" t="n">
        <v>1.0872823624248</v>
      </c>
    </row>
    <row r="889" customFormat="false" ht="15" hidden="false" customHeight="false" outlineLevel="0" collapsed="false">
      <c r="B889" s="32" t="n">
        <v>1650372</v>
      </c>
      <c r="C889" s="13" t="n">
        <v>-3.59470316193919</v>
      </c>
      <c r="D889" s="13" t="n">
        <v>0.451684988353911</v>
      </c>
    </row>
    <row r="890" customFormat="false" ht="15" hidden="false" customHeight="false" outlineLevel="0" collapsed="false">
      <c r="B890" s="32" t="n">
        <v>1651308</v>
      </c>
      <c r="C890" s="13" t="n">
        <v>-1.50969896084385</v>
      </c>
      <c r="D890" s="13" t="n">
        <v>0.161097788365514</v>
      </c>
    </row>
    <row r="891" customFormat="false" ht="15" hidden="false" customHeight="false" outlineLevel="0" collapsed="false">
      <c r="B891" s="32" t="n">
        <v>1651562</v>
      </c>
      <c r="C891" s="13" t="n">
        <v>-2.84303069836868</v>
      </c>
      <c r="D891" s="13" t="n">
        <v>0.120069627338049</v>
      </c>
    </row>
    <row r="892" customFormat="false" ht="15" hidden="false" customHeight="false" outlineLevel="0" collapsed="false">
      <c r="B892" s="32" t="n">
        <v>1652044</v>
      </c>
      <c r="C892" s="13" t="n">
        <v>-2.69034819091888</v>
      </c>
      <c r="D892" s="13" t="n">
        <v>0.36234947718837</v>
      </c>
    </row>
    <row r="893" customFormat="false" ht="15" hidden="false" customHeight="false" outlineLevel="0" collapsed="false">
      <c r="B893" s="32" t="n">
        <v>1652535</v>
      </c>
      <c r="C893" s="13" t="n">
        <v>-3.35228021006303</v>
      </c>
      <c r="D893" s="13" t="n">
        <v>0.422841518377755</v>
      </c>
    </row>
    <row r="894" customFormat="false" ht="15" hidden="false" customHeight="false" outlineLevel="0" collapsed="false">
      <c r="B894" s="32" t="n">
        <v>1653482</v>
      </c>
      <c r="C894" s="13" t="n">
        <v>-4.34515529354827</v>
      </c>
      <c r="D894" s="13" t="n">
        <v>0.572324719872</v>
      </c>
    </row>
    <row r="895" customFormat="false" ht="15" hidden="false" customHeight="false" outlineLevel="0" collapsed="false">
      <c r="B895" s="32" t="n">
        <v>1654151</v>
      </c>
      <c r="C895" s="13" t="n">
        <v>-2.42680209706978</v>
      </c>
      <c r="D895" s="13" t="n">
        <v>1.53574390237115</v>
      </c>
    </row>
    <row r="896" customFormat="false" ht="15" hidden="false" customHeight="false" outlineLevel="0" collapsed="false">
      <c r="B896" s="32" t="n">
        <v>1655759</v>
      </c>
      <c r="C896" s="13" t="n">
        <v>-3.83862052004706</v>
      </c>
      <c r="D896" s="13" t="n">
        <v>0.411419519129723</v>
      </c>
    </row>
    <row r="897" customFormat="false" ht="15" hidden="false" customHeight="false" outlineLevel="0" collapsed="false">
      <c r="B897" s="32" t="n">
        <v>1656472</v>
      </c>
      <c r="C897" s="13" t="n">
        <v>-2.71179184538821</v>
      </c>
      <c r="D897" s="13" t="n">
        <v>0.199185319725476</v>
      </c>
    </row>
    <row r="898" customFormat="false" ht="15" hidden="false" customHeight="false" outlineLevel="0" collapsed="false">
      <c r="B898" s="32" t="n">
        <v>1657573</v>
      </c>
      <c r="C898" s="13" t="n">
        <v>-2.46681729359236</v>
      </c>
      <c r="D898" s="13" t="n">
        <v>0.595786739377097</v>
      </c>
    </row>
    <row r="899" customFormat="false" ht="15" hidden="false" customHeight="false" outlineLevel="0" collapsed="false">
      <c r="B899" s="32" t="n">
        <v>1658551</v>
      </c>
      <c r="C899" s="13" t="n">
        <v>13.3020804914976</v>
      </c>
      <c r="D899" s="13" t="n">
        <v>0.453235281803365</v>
      </c>
    </row>
    <row r="900" customFormat="false" ht="15" hidden="false" customHeight="false" outlineLevel="0" collapsed="false">
      <c r="B900" s="32" t="n">
        <v>1660134</v>
      </c>
      <c r="C900" s="13" t="n">
        <v>-2.89777677743049</v>
      </c>
      <c r="D900" s="13" t="n">
        <v>0.700613399538055</v>
      </c>
    </row>
    <row r="901" customFormat="false" ht="15" hidden="false" customHeight="false" outlineLevel="0" collapsed="false">
      <c r="B901" s="32" t="n">
        <v>1661181</v>
      </c>
      <c r="C901" s="13" t="n">
        <v>-2.8934163719037</v>
      </c>
      <c r="D901" s="13" t="n">
        <v>0.285569708946083</v>
      </c>
    </row>
    <row r="902" customFormat="false" ht="15" hidden="false" customHeight="false" outlineLevel="0" collapsed="false">
      <c r="B902" s="32" t="n">
        <v>1661460</v>
      </c>
      <c r="C902" s="13" t="n">
        <v>-2.66086333410588</v>
      </c>
      <c r="D902" s="13" t="n">
        <v>1.14098392838809</v>
      </c>
    </row>
    <row r="903" customFormat="false" ht="15" hidden="false" customHeight="false" outlineLevel="0" collapsed="false">
      <c r="B903" s="32" t="n">
        <v>1665918</v>
      </c>
      <c r="C903" s="13" t="n">
        <v>-2.69671554245748</v>
      </c>
      <c r="D903" s="13" t="n">
        <v>1.42957002820463</v>
      </c>
    </row>
    <row r="904" customFormat="false" ht="15" hidden="false" customHeight="false" outlineLevel="0" collapsed="false">
      <c r="B904" s="32" t="n">
        <v>1666071</v>
      </c>
      <c r="C904" s="13" t="n">
        <v>-3.50323854766108</v>
      </c>
      <c r="D904" s="13" t="n">
        <v>1.11082778905373</v>
      </c>
    </row>
    <row r="905" customFormat="false" ht="15" hidden="false" customHeight="false" outlineLevel="0" collapsed="false">
      <c r="B905" s="32" t="n">
        <v>1666134</v>
      </c>
      <c r="C905" s="13" t="n">
        <v>-2.76378791313723</v>
      </c>
      <c r="D905" s="13" t="n">
        <v>0.582034281428431</v>
      </c>
    </row>
    <row r="906" customFormat="false" ht="15" hidden="false" customHeight="false" outlineLevel="0" collapsed="false">
      <c r="B906" s="32" t="n">
        <v>1666138</v>
      </c>
      <c r="C906" s="13" t="n">
        <v>-2.62061151104592</v>
      </c>
      <c r="D906" s="13" t="n">
        <v>0.451705374552287</v>
      </c>
    </row>
    <row r="907" customFormat="false" ht="15" hidden="false" customHeight="false" outlineLevel="0" collapsed="false">
      <c r="B907" s="32" t="n">
        <v>1667011</v>
      </c>
      <c r="C907" s="13" t="n">
        <v>-2.73872147428239</v>
      </c>
      <c r="D907" s="13" t="n">
        <v>0.608945590068833</v>
      </c>
    </row>
    <row r="908" customFormat="false" ht="15" hidden="false" customHeight="false" outlineLevel="0" collapsed="false">
      <c r="B908" s="32" t="n">
        <v>1668243</v>
      </c>
      <c r="C908" s="13" t="n">
        <v>-2.82640945311155</v>
      </c>
      <c r="D908" s="13" t="n">
        <v>0.592840932965653</v>
      </c>
    </row>
    <row r="909" customFormat="false" ht="15" hidden="false" customHeight="false" outlineLevel="0" collapsed="false">
      <c r="B909" s="32" t="n">
        <v>1670076</v>
      </c>
      <c r="C909" s="13" t="n">
        <v>-2.1450916873345</v>
      </c>
      <c r="D909" s="13" t="n">
        <v>0.525218370156931</v>
      </c>
    </row>
    <row r="910" customFormat="false" ht="15" hidden="false" customHeight="false" outlineLevel="0" collapsed="false">
      <c r="B910" s="32" t="n">
        <v>1671284</v>
      </c>
      <c r="C910" s="13" t="n">
        <v>3.90998404701789</v>
      </c>
      <c r="D910" s="13" t="n">
        <v>1.4561399045355</v>
      </c>
    </row>
    <row r="911" customFormat="false" ht="15" hidden="false" customHeight="false" outlineLevel="0" collapsed="false">
      <c r="B911" s="32" t="n">
        <v>1671927</v>
      </c>
      <c r="C911" s="13" t="n">
        <v>-2.41652679410281</v>
      </c>
      <c r="D911" s="13" t="n">
        <v>0.176157008926156</v>
      </c>
    </row>
    <row r="912" customFormat="false" ht="15" hidden="false" customHeight="false" outlineLevel="0" collapsed="false">
      <c r="B912" s="32" t="n">
        <v>1671933</v>
      </c>
      <c r="C912" s="13" t="n">
        <v>-2.73268318852034</v>
      </c>
      <c r="D912" s="13" t="n">
        <v>0.651096547849397</v>
      </c>
    </row>
    <row r="913" customFormat="false" ht="15" hidden="false" customHeight="false" outlineLevel="0" collapsed="false">
      <c r="B913" s="32" t="n">
        <v>1673358</v>
      </c>
      <c r="C913" s="13" t="n">
        <v>-2.63097456109601</v>
      </c>
      <c r="D913" s="13" t="n">
        <v>0.410927117911503</v>
      </c>
    </row>
    <row r="914" customFormat="false" ht="15" hidden="false" customHeight="false" outlineLevel="0" collapsed="false">
      <c r="B914" s="32" t="n">
        <v>1674101</v>
      </c>
      <c r="C914" s="13" t="n">
        <v>-2.70371395164409</v>
      </c>
      <c r="D914" s="13" t="n">
        <v>0.570271609966794</v>
      </c>
    </row>
    <row r="915" customFormat="false" ht="15" hidden="false" customHeight="false" outlineLevel="0" collapsed="false">
      <c r="B915" s="32" t="n">
        <v>1674335</v>
      </c>
      <c r="C915" s="13" t="n">
        <v>-3.08292553352622</v>
      </c>
      <c r="D915" s="13" t="n">
        <v>0.36725250723754</v>
      </c>
    </row>
    <row r="916" customFormat="false" ht="15" hidden="false" customHeight="false" outlineLevel="0" collapsed="false">
      <c r="B916" s="32" t="n">
        <v>1674930</v>
      </c>
      <c r="C916" s="13" t="n">
        <v>-2.2926076242961</v>
      </c>
      <c r="D916" s="13" t="n">
        <v>0.557889892237468</v>
      </c>
    </row>
    <row r="917" customFormat="false" ht="15" hidden="false" customHeight="false" outlineLevel="0" collapsed="false">
      <c r="B917" s="32" t="n">
        <v>1675149</v>
      </c>
      <c r="C917" s="13" t="n">
        <v>-2.9167469778938</v>
      </c>
      <c r="D917" s="13" t="n">
        <v>0.235249865863291</v>
      </c>
    </row>
    <row r="918" customFormat="false" ht="15" hidden="false" customHeight="false" outlineLevel="0" collapsed="false">
      <c r="B918" s="32" t="n">
        <v>1676238</v>
      </c>
      <c r="C918" s="13" t="n">
        <v>-2.9241207225836</v>
      </c>
      <c r="D918" s="13" t="n">
        <v>0.617118762327266</v>
      </c>
    </row>
    <row r="919" customFormat="false" ht="15" hidden="false" customHeight="false" outlineLevel="0" collapsed="false">
      <c r="B919" s="32" t="n">
        <v>1677703</v>
      </c>
      <c r="C919" s="13" t="n">
        <v>-3.27393274264164</v>
      </c>
      <c r="D919" s="13" t="n">
        <v>0.440558528280223</v>
      </c>
    </row>
    <row r="920" customFormat="false" ht="15" hidden="false" customHeight="false" outlineLevel="0" collapsed="false">
      <c r="B920" s="32" t="n">
        <v>1679049</v>
      </c>
      <c r="C920" s="13" t="n">
        <v>-2.91383808632991</v>
      </c>
      <c r="D920" s="13" t="n">
        <v>0.165336311646165</v>
      </c>
    </row>
    <row r="921" customFormat="false" ht="15" hidden="false" customHeight="false" outlineLevel="0" collapsed="false">
      <c r="B921" s="32" t="n">
        <v>1679788</v>
      </c>
      <c r="C921" s="13" t="n">
        <v>-0.610503450715194</v>
      </c>
      <c r="D921" s="13" t="n">
        <v>0.338231264061826</v>
      </c>
    </row>
    <row r="922" customFormat="false" ht="15" hidden="false" customHeight="false" outlineLevel="0" collapsed="false">
      <c r="B922" s="32" t="n">
        <v>1680062</v>
      </c>
      <c r="C922" s="13" t="n">
        <v>-1.72742199393603</v>
      </c>
      <c r="D922" s="13" t="n">
        <v>1.97219136613098</v>
      </c>
    </row>
    <row r="923" customFormat="false" ht="15" hidden="false" customHeight="false" outlineLevel="0" collapsed="false">
      <c r="B923" s="32" t="n">
        <v>1680247</v>
      </c>
      <c r="C923" s="13" t="n">
        <v>-2.81316812547161</v>
      </c>
      <c r="D923" s="13" t="n">
        <v>0.212356507562647</v>
      </c>
    </row>
    <row r="924" customFormat="false" ht="15" hidden="false" customHeight="false" outlineLevel="0" collapsed="false">
      <c r="B924" s="32" t="n">
        <v>1682745</v>
      </c>
      <c r="C924" s="13" t="n">
        <v>-2.67777146762102</v>
      </c>
      <c r="D924" s="13" t="n">
        <v>0.601450369713192</v>
      </c>
    </row>
    <row r="925" customFormat="false" ht="15" hidden="false" customHeight="false" outlineLevel="0" collapsed="false">
      <c r="B925" s="32" t="n">
        <v>1683606</v>
      </c>
      <c r="C925" s="13" t="n">
        <v>-2.39464011554681</v>
      </c>
      <c r="D925" s="13" t="n">
        <v>0.655279416366284</v>
      </c>
    </row>
    <row r="926" customFormat="false" ht="15" hidden="false" customHeight="false" outlineLevel="0" collapsed="false">
      <c r="B926" s="32" t="n">
        <v>1687221</v>
      </c>
      <c r="C926" s="13" t="n">
        <v>-2.78682832737781</v>
      </c>
      <c r="D926" s="13" t="n">
        <v>0.51326100413668</v>
      </c>
    </row>
    <row r="927" customFormat="false" ht="15" hidden="false" customHeight="false" outlineLevel="0" collapsed="false">
      <c r="B927" s="32" t="n">
        <v>1687932</v>
      </c>
      <c r="C927" s="13" t="n">
        <v>-3.40549341587505</v>
      </c>
      <c r="D927" s="13" t="n">
        <v>0.523441056924924</v>
      </c>
    </row>
    <row r="928" customFormat="false" ht="15" hidden="false" customHeight="false" outlineLevel="0" collapsed="false">
      <c r="B928" s="32" t="n">
        <v>1688757</v>
      </c>
      <c r="C928" s="13" t="n">
        <v>-1.83865455790451</v>
      </c>
      <c r="D928" s="13" t="n">
        <v>1.29993629759532</v>
      </c>
    </row>
    <row r="929" customFormat="false" ht="15" hidden="false" customHeight="false" outlineLevel="0" collapsed="false">
      <c r="B929" s="32" t="n">
        <v>1689923</v>
      </c>
      <c r="C929" s="13" t="n">
        <v>-3.07643748819572</v>
      </c>
      <c r="D929" s="13" t="n">
        <v>0.901893150182065</v>
      </c>
    </row>
    <row r="930" customFormat="false" ht="15" hidden="false" customHeight="false" outlineLevel="0" collapsed="false">
      <c r="B930" s="32" t="n">
        <v>1692063</v>
      </c>
      <c r="C930" s="13" t="n">
        <v>-2.92623986902881</v>
      </c>
      <c r="D930" s="13" t="n">
        <v>0.685182998690507</v>
      </c>
    </row>
    <row r="931" customFormat="false" ht="15" hidden="false" customHeight="false" outlineLevel="0" collapsed="false">
      <c r="B931" s="32" t="n">
        <v>1692427</v>
      </c>
      <c r="C931" s="13" t="n">
        <v>-3.1503964227393</v>
      </c>
      <c r="D931" s="13" t="n">
        <v>0.422042205821475</v>
      </c>
    </row>
    <row r="932" customFormat="false" ht="15" hidden="false" customHeight="false" outlineLevel="0" collapsed="false">
      <c r="B932" s="32" t="n">
        <v>1692787</v>
      </c>
      <c r="C932" s="13" t="n">
        <v>-2.56593465433565</v>
      </c>
      <c r="D932" s="13" t="n">
        <v>0.926169372062418</v>
      </c>
    </row>
    <row r="933" customFormat="false" ht="15" hidden="false" customHeight="false" outlineLevel="0" collapsed="false">
      <c r="B933" s="32" t="n">
        <v>1692819</v>
      </c>
      <c r="C933" s="13" t="n">
        <v>-3.19135492229714</v>
      </c>
      <c r="D933" s="13" t="n">
        <v>0.682810859074112</v>
      </c>
    </row>
    <row r="934" customFormat="false" ht="15" hidden="false" customHeight="false" outlineLevel="0" collapsed="false">
      <c r="B934" s="32" t="n">
        <v>1695295</v>
      </c>
      <c r="C934" s="13" t="n">
        <v>-3.28109075046169</v>
      </c>
      <c r="D934" s="13" t="n">
        <v>0.327391986601335</v>
      </c>
    </row>
    <row r="935" customFormat="false" ht="15" hidden="false" customHeight="false" outlineLevel="0" collapsed="false">
      <c r="B935" s="32" t="n">
        <v>1696558</v>
      </c>
      <c r="C935" s="13" t="n">
        <v>-1.93539021461118</v>
      </c>
      <c r="D935" s="13" t="n">
        <v>0.229354235861074</v>
      </c>
    </row>
    <row r="936" customFormat="false" ht="15" hidden="false" customHeight="false" outlineLevel="0" collapsed="false">
      <c r="B936" s="32" t="n">
        <v>1698514</v>
      </c>
      <c r="C936" s="13" t="n">
        <v>-2.9607107745138</v>
      </c>
      <c r="D936" s="13" t="n">
        <v>1.22627507241542</v>
      </c>
    </row>
    <row r="937" customFormat="false" ht="15" hidden="false" customHeight="false" outlineLevel="0" collapsed="false">
      <c r="B937" s="32" t="n">
        <v>1699838</v>
      </c>
      <c r="C937" s="13" t="n">
        <v>-2.82126952955306</v>
      </c>
      <c r="D937" s="13" t="n">
        <v>0.608142808339483</v>
      </c>
    </row>
    <row r="938" customFormat="false" ht="15" hidden="false" customHeight="false" outlineLevel="0" collapsed="false">
      <c r="B938" s="32" t="n">
        <v>1701051</v>
      </c>
      <c r="C938" s="13" t="n">
        <v>-4.00446773246409</v>
      </c>
      <c r="D938" s="13" t="n">
        <v>0.240833981784051</v>
      </c>
    </row>
    <row r="939" customFormat="false" ht="15" hidden="false" customHeight="false" outlineLevel="0" collapsed="false">
      <c r="B939" s="32" t="n">
        <v>1701732</v>
      </c>
      <c r="C939" s="13" t="n">
        <v>-2.98813115800757</v>
      </c>
      <c r="D939" s="13" t="n">
        <v>0.357200810543738</v>
      </c>
    </row>
    <row r="940" customFormat="false" ht="15" hidden="false" customHeight="false" outlineLevel="0" collapsed="false">
      <c r="B940" s="32" t="n">
        <v>1702780</v>
      </c>
      <c r="C940" s="13" t="n">
        <v>-2.73161172293805</v>
      </c>
      <c r="D940" s="13" t="n">
        <v>0.4313079669623</v>
      </c>
    </row>
    <row r="941" customFormat="false" ht="15" hidden="false" customHeight="false" outlineLevel="0" collapsed="false">
      <c r="B941" s="32" t="n">
        <v>1703056</v>
      </c>
      <c r="C941" s="13" t="n">
        <v>-2.67089537334733</v>
      </c>
      <c r="D941" s="13" t="n">
        <v>0.719710706431399</v>
      </c>
    </row>
    <row r="942" customFormat="false" ht="15" hidden="false" customHeight="false" outlineLevel="0" collapsed="false">
      <c r="B942" s="32" t="n">
        <v>1703399</v>
      </c>
      <c r="C942" s="13" t="n">
        <v>-2.71653916095265</v>
      </c>
      <c r="D942" s="13" t="n">
        <v>1.46471387629403</v>
      </c>
    </row>
    <row r="943" customFormat="false" ht="15" hidden="false" customHeight="false" outlineLevel="0" collapsed="false">
      <c r="B943" s="32" t="n">
        <v>1704292</v>
      </c>
      <c r="C943" s="13" t="n">
        <v>-2.7822635502667</v>
      </c>
      <c r="D943" s="13" t="n">
        <v>0.151366891153221</v>
      </c>
    </row>
    <row r="944" customFormat="false" ht="15" hidden="false" customHeight="false" outlineLevel="0" collapsed="false">
      <c r="B944" s="32" t="n">
        <v>1705402</v>
      </c>
      <c r="C944" s="13" t="n">
        <v>-2.15216116718852</v>
      </c>
      <c r="D944" s="13" t="n">
        <v>0.116712093499922</v>
      </c>
    </row>
    <row r="945" customFormat="false" ht="15" hidden="false" customHeight="false" outlineLevel="0" collapsed="false">
      <c r="B945" s="32" t="n">
        <v>1707753</v>
      </c>
      <c r="C945" s="13" t="n">
        <v>-2.57143559047676</v>
      </c>
      <c r="D945" s="13" t="n">
        <v>0.629813280248405</v>
      </c>
    </row>
    <row r="946" customFormat="false" ht="15" hidden="false" customHeight="false" outlineLevel="0" collapsed="false">
      <c r="B946" s="32" t="n">
        <v>1707925</v>
      </c>
      <c r="C946" s="13" t="n">
        <v>-2.62602655793176</v>
      </c>
      <c r="D946" s="13" t="n">
        <v>0.980063053101794</v>
      </c>
    </row>
    <row r="947" customFormat="false" ht="15" hidden="false" customHeight="false" outlineLevel="0" collapsed="false">
      <c r="B947" s="32" t="n">
        <v>1708035</v>
      </c>
      <c r="C947" s="13" t="n">
        <v>-2.44755515964978</v>
      </c>
      <c r="D947" s="13" t="n">
        <v>0.344058128644824</v>
      </c>
    </row>
    <row r="948" customFormat="false" ht="15" hidden="false" customHeight="false" outlineLevel="0" collapsed="false">
      <c r="B948" s="32" t="n">
        <v>1708441</v>
      </c>
      <c r="C948" s="13" t="n">
        <v>-2.65839049249295</v>
      </c>
      <c r="D948" s="13" t="n">
        <v>0.388556843349025</v>
      </c>
    </row>
    <row r="949" customFormat="false" ht="15" hidden="false" customHeight="false" outlineLevel="0" collapsed="false">
      <c r="B949" s="32" t="n">
        <v>1710366</v>
      </c>
      <c r="C949" s="13" t="n">
        <v>-2.67418590584459</v>
      </c>
      <c r="D949" s="13" t="n">
        <v>0.162846297240199</v>
      </c>
    </row>
    <row r="950" customFormat="false" ht="15" hidden="false" customHeight="false" outlineLevel="0" collapsed="false">
      <c r="B950" s="32" t="n">
        <v>1711933</v>
      </c>
      <c r="C950" s="13" t="n">
        <v>-2.28230788238848</v>
      </c>
      <c r="D950" s="13" t="n">
        <v>0.780813291098645</v>
      </c>
    </row>
    <row r="951" customFormat="false" ht="15" hidden="false" customHeight="false" outlineLevel="0" collapsed="false">
      <c r="B951" s="32" t="n">
        <v>1712189</v>
      </c>
      <c r="C951" s="13" t="n">
        <v>-2.06468915818348</v>
      </c>
      <c r="D951" s="13" t="n">
        <v>0.261078929887654</v>
      </c>
    </row>
    <row r="952" customFormat="false" ht="15" hidden="false" customHeight="false" outlineLevel="0" collapsed="false">
      <c r="B952" s="32" t="n">
        <v>1712463</v>
      </c>
      <c r="C952" s="13" t="n">
        <v>-2.9194370124179</v>
      </c>
      <c r="D952" s="13" t="n">
        <v>0.484012363493364</v>
      </c>
    </row>
    <row r="953" customFormat="false" ht="15" hidden="false" customHeight="false" outlineLevel="0" collapsed="false">
      <c r="B953" s="32" t="n">
        <v>1713334</v>
      </c>
      <c r="C953" s="13" t="n">
        <v>30.2632832845087</v>
      </c>
      <c r="D953" s="13" t="n">
        <v>55.033961224425</v>
      </c>
    </row>
    <row r="954" customFormat="false" ht="15" hidden="false" customHeight="false" outlineLevel="0" collapsed="false">
      <c r="B954" s="32" t="n">
        <v>1713683</v>
      </c>
      <c r="C954" s="13" t="n">
        <v>-2.97163126802916</v>
      </c>
      <c r="D954" s="13" t="n">
        <v>0.353905457952054</v>
      </c>
    </row>
    <row r="955" customFormat="false" ht="15" hidden="false" customHeight="false" outlineLevel="0" collapsed="false">
      <c r="B955" s="32" t="n">
        <v>1720116</v>
      </c>
      <c r="C955" s="13" t="n">
        <v>-2.18285233516967</v>
      </c>
      <c r="D955" s="13" t="n">
        <v>0.389557428430499</v>
      </c>
    </row>
    <row r="956" customFormat="false" ht="15" hidden="false" customHeight="false" outlineLevel="0" collapsed="false">
      <c r="B956" s="32" t="n">
        <v>1720446</v>
      </c>
      <c r="C956" s="13" t="n">
        <v>-3.35715354907458</v>
      </c>
      <c r="D956" s="13" t="n">
        <v>0.327291276466098</v>
      </c>
    </row>
    <row r="957" customFormat="false" ht="15" hidden="false" customHeight="false" outlineLevel="0" collapsed="false">
      <c r="B957" s="32" t="n">
        <v>1720592</v>
      </c>
      <c r="C957" s="13" t="n">
        <v>-3.07824886998405</v>
      </c>
      <c r="D957" s="13" t="n">
        <v>0.62847431317077</v>
      </c>
    </row>
    <row r="958" customFormat="false" ht="15" hidden="false" customHeight="false" outlineLevel="0" collapsed="false">
      <c r="B958" s="32" t="n">
        <v>1720671</v>
      </c>
      <c r="C958" s="13" t="n">
        <v>-2.84513259753708</v>
      </c>
      <c r="D958" s="13" t="n">
        <v>0.379800811926582</v>
      </c>
    </row>
    <row r="959" customFormat="false" ht="15" hidden="false" customHeight="false" outlineLevel="0" collapsed="false">
      <c r="B959" s="32" t="n">
        <v>1720990</v>
      </c>
      <c r="C959" s="13" t="n">
        <v>706.647971544626</v>
      </c>
      <c r="D959" s="13" t="n">
        <v>0.976919007113218</v>
      </c>
    </row>
    <row r="960" customFormat="false" ht="15" hidden="false" customHeight="false" outlineLevel="0" collapsed="false">
      <c r="B960" s="32" t="n">
        <v>1721947</v>
      </c>
      <c r="C960" s="13" t="n">
        <v>-2.80618538874343</v>
      </c>
      <c r="D960" s="13" t="n">
        <v>0.54671512886086</v>
      </c>
    </row>
    <row r="961" customFormat="false" ht="15" hidden="false" customHeight="false" outlineLevel="0" collapsed="false">
      <c r="B961" s="32" t="n">
        <v>1722482</v>
      </c>
      <c r="C961" s="13" t="n">
        <v>-2.70081435972109</v>
      </c>
      <c r="D961" s="13" t="n">
        <v>0.639709293279918</v>
      </c>
    </row>
    <row r="962" customFormat="false" ht="15" hidden="false" customHeight="false" outlineLevel="0" collapsed="false">
      <c r="B962" s="32" t="n">
        <v>1722608</v>
      </c>
      <c r="C962" s="13" t="n">
        <v>-2.76130849968117</v>
      </c>
      <c r="D962" s="13" t="n">
        <v>1.76918319597011</v>
      </c>
    </row>
    <row r="963" customFormat="false" ht="15" hidden="false" customHeight="false" outlineLevel="0" collapsed="false">
      <c r="B963" s="32" t="n">
        <v>1722684</v>
      </c>
      <c r="C963" s="13" t="n">
        <v>-2.58236372724872</v>
      </c>
      <c r="D963" s="13" t="n">
        <v>1.84430355157688</v>
      </c>
    </row>
    <row r="964" customFormat="false" ht="15" hidden="false" customHeight="false" outlineLevel="0" collapsed="false">
      <c r="B964" s="32" t="n">
        <v>1722964</v>
      </c>
      <c r="C964" s="13" t="n">
        <v>-1.21732609083633</v>
      </c>
      <c r="D964" s="13" t="n">
        <v>0.208525886044523</v>
      </c>
    </row>
    <row r="965" customFormat="false" ht="15" hidden="false" customHeight="false" outlineLevel="0" collapsed="false">
      <c r="B965" s="32" t="n">
        <v>1724755</v>
      </c>
      <c r="C965" s="13" t="n">
        <v>-2.48169581588718</v>
      </c>
      <c r="D965" s="13" t="n">
        <v>0.386729670471667</v>
      </c>
    </row>
    <row r="966" customFormat="false" ht="15" hidden="false" customHeight="false" outlineLevel="0" collapsed="false">
      <c r="B966" s="32" t="n">
        <v>1724965</v>
      </c>
      <c r="C966" s="13" t="n">
        <v>-1.03333479635884</v>
      </c>
      <c r="D966" s="13" t="n">
        <v>0.179520039546172</v>
      </c>
    </row>
    <row r="967" customFormat="false" ht="15" hidden="false" customHeight="false" outlineLevel="0" collapsed="false">
      <c r="B967" s="32" t="n">
        <v>1725123</v>
      </c>
      <c r="C967" s="13" t="n">
        <v>-0.152026500165644</v>
      </c>
      <c r="D967" s="13" t="n">
        <v>0.924079212284708</v>
      </c>
    </row>
    <row r="968" customFormat="false" ht="15" hidden="false" customHeight="false" outlineLevel="0" collapsed="false">
      <c r="B968" s="32" t="n">
        <v>1725872</v>
      </c>
      <c r="C968" s="13" t="n">
        <v>-3.92818739514136</v>
      </c>
      <c r="D968" s="13" t="n">
        <v>0.46241593017649</v>
      </c>
    </row>
    <row r="969" customFormat="false" ht="15" hidden="false" customHeight="false" outlineLevel="0" collapsed="false">
      <c r="B969" s="32" t="n">
        <v>1726173</v>
      </c>
      <c r="C969" s="13" t="n">
        <v>-2.72577379348171</v>
      </c>
      <c r="D969" s="13" t="n">
        <v>0.263602955335237</v>
      </c>
    </row>
    <row r="970" customFormat="false" ht="15" hidden="false" customHeight="false" outlineLevel="0" collapsed="false">
      <c r="B970" s="32" t="n">
        <v>1728190</v>
      </c>
      <c r="C970" s="13" t="n">
        <v>-2.52044546240695</v>
      </c>
      <c r="D970" s="13" t="n">
        <v>0.586374238876413</v>
      </c>
    </row>
    <row r="971" customFormat="false" ht="15" hidden="false" customHeight="false" outlineLevel="0" collapsed="false">
      <c r="B971" s="32" t="n">
        <v>1728688</v>
      </c>
      <c r="C971" s="13" t="n">
        <v>-2.63443985767119</v>
      </c>
      <c r="D971" s="13" t="n">
        <v>0.578141791287829</v>
      </c>
    </row>
    <row r="972" customFormat="false" ht="15" hidden="false" customHeight="false" outlineLevel="0" collapsed="false">
      <c r="B972" s="32" t="n">
        <v>1729149</v>
      </c>
      <c r="C972" s="13" t="n">
        <v>-2.56372163811322</v>
      </c>
      <c r="D972" s="13" t="n">
        <v>0.301693338112751</v>
      </c>
    </row>
    <row r="973" customFormat="false" ht="15" hidden="false" customHeight="false" outlineLevel="0" collapsed="false">
      <c r="B973" s="32" t="n">
        <v>1730168</v>
      </c>
      <c r="C973" s="13" t="n">
        <v>-2.09900385142572</v>
      </c>
      <c r="D973" s="13" t="n">
        <v>2.41014005114635</v>
      </c>
    </row>
    <row r="974" customFormat="false" ht="15" hidden="false" customHeight="false" outlineLevel="0" collapsed="false">
      <c r="B974" s="32" t="n">
        <v>1730430</v>
      </c>
      <c r="C974" s="13" t="n">
        <v>-2.01220078483638</v>
      </c>
      <c r="D974" s="13" t="n">
        <v>0.941556844086661</v>
      </c>
    </row>
    <row r="975" customFormat="false" ht="15" hidden="false" customHeight="false" outlineLevel="0" collapsed="false">
      <c r="B975" s="32" t="n">
        <v>1731348</v>
      </c>
      <c r="C975" s="13" t="n">
        <v>-2.67106325026415</v>
      </c>
      <c r="D975" s="13" t="n">
        <v>0.997388301172602</v>
      </c>
    </row>
    <row r="976" customFormat="false" ht="15" hidden="false" customHeight="false" outlineLevel="0" collapsed="false">
      <c r="B976" s="32" t="n">
        <v>1733298</v>
      </c>
      <c r="C976" s="13" t="n">
        <v>-4.05425725667582</v>
      </c>
      <c r="D976" s="13" t="n">
        <v>0.255099652340913</v>
      </c>
    </row>
    <row r="977" customFormat="false" ht="15" hidden="false" customHeight="false" outlineLevel="0" collapsed="false">
      <c r="B977" s="32" t="n">
        <v>1734107</v>
      </c>
      <c r="C977" s="13" t="n">
        <v>-2.16209209746707</v>
      </c>
      <c r="D977" s="13" t="n">
        <v>0.412130935278912</v>
      </c>
    </row>
    <row r="978" customFormat="false" ht="15" hidden="false" customHeight="false" outlineLevel="0" collapsed="false">
      <c r="B978" s="32" t="n">
        <v>1734722</v>
      </c>
      <c r="C978" s="13" t="n">
        <v>-3.03105943041371</v>
      </c>
      <c r="D978" s="13" t="n">
        <v>0.408025548333105</v>
      </c>
    </row>
    <row r="979" customFormat="false" ht="15" hidden="false" customHeight="false" outlineLevel="0" collapsed="false">
      <c r="B979" s="32" t="n">
        <v>1735041</v>
      </c>
      <c r="C979" s="13" t="n">
        <v>-3.31529266493592</v>
      </c>
      <c r="D979" s="13" t="n">
        <v>0.399429764807593</v>
      </c>
    </row>
    <row r="980" customFormat="false" ht="15" hidden="false" customHeight="false" outlineLevel="0" collapsed="false">
      <c r="B980" s="32" t="n">
        <v>1739104</v>
      </c>
      <c r="C980" s="13" t="n">
        <v>-2.95138909719669</v>
      </c>
      <c r="D980" s="13" t="n">
        <v>0.624490038249727</v>
      </c>
    </row>
    <row r="981" customFormat="false" ht="15" hidden="false" customHeight="false" outlineLevel="0" collapsed="false">
      <c r="B981" s="32" t="n">
        <v>1739445</v>
      </c>
      <c r="C981" s="13" t="n">
        <v>-2.607429037882</v>
      </c>
      <c r="D981" s="13" t="n">
        <v>0.372309413920959</v>
      </c>
    </row>
    <row r="982" customFormat="false" ht="15" hidden="false" customHeight="false" outlineLevel="0" collapsed="false">
      <c r="B982" s="32" t="n">
        <v>1739942</v>
      </c>
      <c r="C982" s="13" t="n">
        <v>-2.75367246464724</v>
      </c>
      <c r="D982" s="13" t="n">
        <v>0.484053640230479</v>
      </c>
    </row>
    <row r="983" customFormat="false" ht="15" hidden="false" customHeight="false" outlineLevel="0" collapsed="false">
      <c r="B983" s="32" t="n">
        <v>1742692</v>
      </c>
      <c r="C983" s="13" t="n">
        <v>-1.7648528513736</v>
      </c>
      <c r="D983" s="13" t="n">
        <v>0.694361672142491</v>
      </c>
    </row>
    <row r="984" customFormat="false" ht="15" hidden="false" customHeight="false" outlineLevel="0" collapsed="false">
      <c r="B984" s="32" t="n">
        <v>1743725</v>
      </c>
      <c r="C984" s="13" t="n">
        <v>-2.73851220655939</v>
      </c>
      <c r="D984" s="13" t="n">
        <v>0.213626632571895</v>
      </c>
    </row>
    <row r="985" customFormat="false" ht="15" hidden="false" customHeight="false" outlineLevel="0" collapsed="false">
      <c r="B985" s="32" t="n">
        <v>1744781</v>
      </c>
      <c r="C985" s="13" t="n">
        <v>-4.05644166921424</v>
      </c>
      <c r="D985" s="13" t="n">
        <v>0.171891517767802</v>
      </c>
    </row>
    <row r="986" customFormat="false" ht="15" hidden="false" customHeight="false" outlineLevel="0" collapsed="false">
      <c r="B986" s="32" t="n">
        <v>1746618</v>
      </c>
      <c r="C986" s="13" t="n">
        <v>-1.23602274612306</v>
      </c>
      <c r="D986" s="13" t="n">
        <v>0.337443233379558</v>
      </c>
    </row>
    <row r="987" customFormat="false" ht="15" hidden="false" customHeight="false" outlineLevel="0" collapsed="false">
      <c r="B987" s="32" t="n">
        <v>1747009</v>
      </c>
      <c r="C987" s="13" t="n">
        <v>-2.85211949900664</v>
      </c>
      <c r="D987" s="13" t="n">
        <v>0.169988649548787</v>
      </c>
    </row>
    <row r="988" customFormat="false" ht="15" hidden="false" customHeight="false" outlineLevel="0" collapsed="false">
      <c r="B988" s="32" t="n">
        <v>1747079</v>
      </c>
      <c r="C988" s="13" t="n">
        <v>-2.7886263237166</v>
      </c>
      <c r="D988" s="13" t="n">
        <v>1.33656112833281</v>
      </c>
    </row>
    <row r="989" customFormat="false" ht="15" hidden="false" customHeight="false" outlineLevel="0" collapsed="false">
      <c r="B989" s="32" t="n">
        <v>1750155</v>
      </c>
      <c r="C989" s="13" t="n">
        <v>-3.11153993083577</v>
      </c>
      <c r="D989" s="13" t="n">
        <v>0.212076766876016</v>
      </c>
    </row>
    <row r="990" customFormat="false" ht="15" hidden="false" customHeight="false" outlineLevel="0" collapsed="false">
      <c r="B990" s="32" t="n">
        <v>1753162</v>
      </c>
      <c r="C990" s="13" t="n">
        <v>-3.36992777174864</v>
      </c>
      <c r="D990" s="13" t="n">
        <v>0.529743695597914</v>
      </c>
    </row>
    <row r="991" customFormat="false" ht="15" hidden="false" customHeight="false" outlineLevel="0" collapsed="false">
      <c r="B991" s="32" t="n">
        <v>1753539</v>
      </c>
      <c r="C991" s="13" t="n">
        <v>-1.14745811147456</v>
      </c>
      <c r="D991" s="13" t="n">
        <v>0.237514142710699</v>
      </c>
    </row>
    <row r="992" customFormat="false" ht="15" hidden="false" customHeight="false" outlineLevel="0" collapsed="false">
      <c r="B992" s="32" t="n">
        <v>1753673</v>
      </c>
      <c r="C992" s="13" t="n">
        <v>-2.97668075551274</v>
      </c>
      <c r="D992" s="13" t="n">
        <v>0.533500094775085</v>
      </c>
    </row>
    <row r="993" customFormat="false" ht="15" hidden="false" customHeight="false" outlineLevel="0" collapsed="false">
      <c r="B993" s="32" t="n">
        <v>1753706</v>
      </c>
      <c r="C993" s="13" t="n">
        <v>-2.76665535561164</v>
      </c>
      <c r="D993" s="13" t="n">
        <v>0.573983136795296</v>
      </c>
    </row>
    <row r="994" customFormat="false" ht="15" hidden="false" customHeight="false" outlineLevel="0" collapsed="false">
      <c r="B994" s="32" t="n">
        <v>1754170</v>
      </c>
      <c r="C994" s="13" t="n">
        <v>-0.706023025086205</v>
      </c>
      <c r="D994" s="13" t="n">
        <v>2.33931346734241</v>
      </c>
    </row>
    <row r="995" customFormat="false" ht="15" hidden="false" customHeight="false" outlineLevel="0" collapsed="false">
      <c r="B995" s="32" t="n">
        <v>1754195</v>
      </c>
      <c r="C995" s="13" t="n">
        <v>-3.565826283001</v>
      </c>
      <c r="D995" s="13" t="n">
        <v>0.357314988759481</v>
      </c>
    </row>
    <row r="996" customFormat="false" ht="15" hidden="false" customHeight="false" outlineLevel="0" collapsed="false">
      <c r="B996" s="32" t="n">
        <v>1754820</v>
      </c>
      <c r="C996" s="13" t="n">
        <v>-6.03583849415305</v>
      </c>
      <c r="D996" s="13" t="n">
        <v>0.245570866079484</v>
      </c>
    </row>
    <row r="997" customFormat="false" ht="15" hidden="false" customHeight="false" outlineLevel="0" collapsed="false">
      <c r="B997" s="32" t="n">
        <v>1756262</v>
      </c>
      <c r="C997" s="13" t="n">
        <v>-0.418370924214543</v>
      </c>
      <c r="D997" s="13" t="n">
        <v>0.156124143688311</v>
      </c>
    </row>
    <row r="998" customFormat="false" ht="15" hidden="false" customHeight="false" outlineLevel="0" collapsed="false">
      <c r="B998" s="32" t="n">
        <v>1757715</v>
      </c>
      <c r="C998" s="13" t="n">
        <v>-7.27928929351323</v>
      </c>
      <c r="D998" s="13" t="n">
        <v>0.173243563584217</v>
      </c>
    </row>
    <row r="999" customFormat="false" ht="15" hidden="false" customHeight="false" outlineLevel="0" collapsed="false">
      <c r="B999" s="32" t="n">
        <v>1757898</v>
      </c>
      <c r="C999" s="13" t="n">
        <v>-2.58357635644857</v>
      </c>
      <c r="D999" s="13" t="n">
        <v>0.553559715317821</v>
      </c>
    </row>
    <row r="1000" customFormat="false" ht="15" hidden="false" customHeight="false" outlineLevel="0" collapsed="false">
      <c r="B1000" s="32" t="n">
        <v>1758021</v>
      </c>
      <c r="C1000" s="13" t="n">
        <v>-3.11438750421516</v>
      </c>
      <c r="D1000" s="13" t="n">
        <v>0.302248904001972</v>
      </c>
    </row>
    <row r="1001" customFormat="false" ht="15" hidden="false" customHeight="false" outlineLevel="0" collapsed="false">
      <c r="B1001" s="32" t="n">
        <v>1758057</v>
      </c>
      <c r="C1001" s="13" t="n">
        <v>-8.39168476720338</v>
      </c>
      <c r="D1001" s="13" t="n">
        <v>0.372742025406814</v>
      </c>
    </row>
    <row r="1002" customFormat="false" ht="15" hidden="false" customHeight="false" outlineLevel="0" collapsed="false">
      <c r="B1002" s="32" t="n">
        <v>1758488</v>
      </c>
      <c r="C1002" s="13" t="n">
        <v>-2.62804141838054</v>
      </c>
      <c r="D1002" s="13" t="n">
        <v>0.850222657632286</v>
      </c>
    </row>
    <row r="1003" customFormat="false" ht="15" hidden="false" customHeight="false" outlineLevel="0" collapsed="false">
      <c r="B1003" s="32" t="n">
        <v>1759425</v>
      </c>
      <c r="C1003" s="13" t="n">
        <v>-1.65509504378477</v>
      </c>
      <c r="D1003" s="13" t="n">
        <v>1.02973372316174</v>
      </c>
    </row>
    <row r="1004" customFormat="false" ht="15" hidden="false" customHeight="false" outlineLevel="0" collapsed="false">
      <c r="B1004" s="32" t="n">
        <v>1759614</v>
      </c>
      <c r="C1004" s="13" t="n">
        <v>-2.42233319976429</v>
      </c>
      <c r="D1004" s="13" t="n">
        <v>0.2382339466956</v>
      </c>
    </row>
    <row r="1005" customFormat="false" ht="15" hidden="false" customHeight="false" outlineLevel="0" collapsed="false">
      <c r="B1005" s="32" t="n">
        <v>1760689</v>
      </c>
      <c r="C1005" s="13" t="n">
        <v>-3.14758618693368</v>
      </c>
      <c r="D1005" s="13" t="n">
        <v>0.291834655622178</v>
      </c>
    </row>
    <row r="1006" customFormat="false" ht="15" hidden="false" customHeight="false" outlineLevel="0" collapsed="false">
      <c r="B1006" s="32" t="n">
        <v>1760965</v>
      </c>
      <c r="C1006" s="13" t="n">
        <v>-2.83894210478672</v>
      </c>
      <c r="D1006" s="13" t="n">
        <v>1.25087579068746</v>
      </c>
    </row>
    <row r="1007" customFormat="false" ht="15" hidden="false" customHeight="false" outlineLevel="0" collapsed="false">
      <c r="B1007" s="32" t="n">
        <v>1762303</v>
      </c>
      <c r="C1007" s="13" t="n">
        <v>-2.77717089435767</v>
      </c>
      <c r="D1007" s="13" t="n">
        <v>1.30761759007433</v>
      </c>
    </row>
    <row r="1008" customFormat="false" ht="15" hidden="false" customHeight="false" outlineLevel="0" collapsed="false">
      <c r="B1008" s="32" t="n">
        <v>1764757</v>
      </c>
      <c r="C1008" s="13" t="n">
        <v>-2.42125776413233</v>
      </c>
      <c r="D1008" s="13" t="n">
        <v>0.420070695913186</v>
      </c>
    </row>
    <row r="1009" customFormat="false" ht="15" hidden="false" customHeight="false" outlineLevel="0" collapsed="false">
      <c r="B1009" s="32" t="n">
        <v>1766363</v>
      </c>
      <c r="C1009" s="13" t="n">
        <v>-2.24292932819616</v>
      </c>
      <c r="D1009" s="13" t="n">
        <v>0.889382751804655</v>
      </c>
    </row>
    <row r="1010" customFormat="false" ht="15" hidden="false" customHeight="false" outlineLevel="0" collapsed="false">
      <c r="B1010" s="32" t="n">
        <v>1767042</v>
      </c>
      <c r="C1010" s="13" t="n">
        <v>-2.67486568244649</v>
      </c>
      <c r="D1010" s="13" t="n">
        <v>0.585395251982032</v>
      </c>
    </row>
    <row r="1011" customFormat="false" ht="15" hidden="false" customHeight="false" outlineLevel="0" collapsed="false">
      <c r="B1011" s="32" t="n">
        <v>1767258</v>
      </c>
      <c r="C1011" s="13" t="n">
        <v>-1.74424527384409</v>
      </c>
      <c r="D1011" s="13" t="n">
        <v>0.920058461350834</v>
      </c>
    </row>
    <row r="1012" customFormat="false" ht="15" hidden="false" customHeight="false" outlineLevel="0" collapsed="false">
      <c r="B1012" s="32" t="n">
        <v>1768224</v>
      </c>
      <c r="C1012" s="13" t="n">
        <v>9.50807884892714</v>
      </c>
      <c r="D1012" s="13" t="n">
        <v>0.26438763561298</v>
      </c>
    </row>
    <row r="1013" customFormat="false" ht="15" hidden="false" customHeight="false" outlineLevel="0" collapsed="false">
      <c r="B1013" s="32" t="n">
        <v>1769624</v>
      </c>
      <c r="C1013" s="13" t="n">
        <v>-2.50420138491392</v>
      </c>
      <c r="D1013" s="13" t="n">
        <v>0.791241583476461</v>
      </c>
    </row>
    <row r="1014" customFormat="false" ht="15" hidden="false" customHeight="false" outlineLevel="0" collapsed="false">
      <c r="B1014" s="32" t="n">
        <v>1769731</v>
      </c>
      <c r="C1014" s="13" t="n">
        <v>-0.508698190752863</v>
      </c>
      <c r="D1014" s="13" t="n">
        <v>1.8954349192523</v>
      </c>
    </row>
    <row r="1015" customFormat="false" ht="15" hidden="false" customHeight="false" outlineLevel="0" collapsed="false">
      <c r="B1015" s="32" t="n">
        <v>1769768</v>
      </c>
      <c r="C1015" s="13" t="n">
        <v>-3.541744122791</v>
      </c>
      <c r="D1015" s="13" t="n">
        <v>1.24453311327244</v>
      </c>
    </row>
    <row r="1016" customFormat="false" ht="15" hidden="false" customHeight="false" outlineLevel="0" collapsed="false">
      <c r="B1016" s="32" t="n">
        <v>1770088</v>
      </c>
      <c r="C1016" s="13" t="n">
        <v>-3.23164183402057</v>
      </c>
      <c r="D1016" s="13" t="n">
        <v>0.310894714317355</v>
      </c>
    </row>
    <row r="1017" customFormat="false" ht="15" hidden="false" customHeight="false" outlineLevel="0" collapsed="false">
      <c r="B1017" s="32" t="n">
        <v>1770450</v>
      </c>
      <c r="C1017" s="13" t="n">
        <v>-2.76076105255678</v>
      </c>
      <c r="D1017" s="13" t="n">
        <v>1.6285193846923</v>
      </c>
    </row>
    <row r="1018" customFormat="false" ht="15" hidden="false" customHeight="false" outlineLevel="0" collapsed="false">
      <c r="B1018" s="32" t="n">
        <v>1770787</v>
      </c>
      <c r="C1018" s="13" t="n">
        <v>-3.52892997775534</v>
      </c>
      <c r="D1018" s="13" t="n">
        <v>0.193143552420159</v>
      </c>
    </row>
    <row r="1019" customFormat="false" ht="15" hidden="false" customHeight="false" outlineLevel="0" collapsed="false">
      <c r="B1019" s="32" t="n">
        <v>1771515</v>
      </c>
      <c r="C1019" s="13" t="n">
        <v>-2.45620562970703</v>
      </c>
      <c r="D1019" s="13" t="n">
        <v>0.460413396303947</v>
      </c>
    </row>
    <row r="1020" customFormat="false" ht="15" hidden="false" customHeight="false" outlineLevel="0" collapsed="false">
      <c r="B1020" s="32" t="n">
        <v>1772253</v>
      </c>
      <c r="C1020" s="13" t="n">
        <v>-3.42588733907378</v>
      </c>
      <c r="D1020" s="13" t="n">
        <v>0.297549218247786</v>
      </c>
    </row>
    <row r="1021" customFormat="false" ht="15" hidden="false" customHeight="false" outlineLevel="0" collapsed="false">
      <c r="B1021" s="32" t="n">
        <v>1772695</v>
      </c>
      <c r="C1021" s="13" t="n">
        <v>-2.04503011067307</v>
      </c>
      <c r="D1021" s="13" t="n">
        <v>0.810874768750824</v>
      </c>
    </row>
    <row r="1022" customFormat="false" ht="15" hidden="false" customHeight="false" outlineLevel="0" collapsed="false">
      <c r="B1022" s="32" t="n">
        <v>1772720</v>
      </c>
      <c r="C1022" s="13" t="n">
        <v>-0.941927114797565</v>
      </c>
      <c r="D1022" s="13" t="n">
        <v>0.999877889051573</v>
      </c>
    </row>
    <row r="1023" customFormat="false" ht="15" hidden="false" customHeight="false" outlineLevel="0" collapsed="false">
      <c r="B1023" s="32" t="n">
        <v>1773383</v>
      </c>
      <c r="C1023" s="13" t="n">
        <v>-2.70463032181936</v>
      </c>
      <c r="D1023" s="13" t="n">
        <v>0.467968832816686</v>
      </c>
    </row>
    <row r="1024" customFormat="false" ht="15" hidden="false" customHeight="false" outlineLevel="0" collapsed="false">
      <c r="B1024" s="32" t="n">
        <v>1774170</v>
      </c>
      <c r="C1024" s="13" t="n">
        <v>-2.76746512074233</v>
      </c>
      <c r="D1024" s="13" t="n">
        <v>0.535885084058646</v>
      </c>
    </row>
    <row r="1025" customFormat="false" ht="15" hidden="false" customHeight="false" outlineLevel="0" collapsed="false">
      <c r="B1025" s="32" t="n">
        <v>1775898</v>
      </c>
      <c r="C1025" s="13" t="n">
        <v>-2.54574673176208</v>
      </c>
      <c r="D1025" s="13" t="n">
        <v>0.197985833570643</v>
      </c>
    </row>
    <row r="1026" customFormat="false" ht="15" hidden="false" customHeight="false" outlineLevel="0" collapsed="false">
      <c r="B1026" s="32" t="n">
        <v>1776661</v>
      </c>
      <c r="C1026" s="13" t="n">
        <v>-3.11256784017614</v>
      </c>
      <c r="D1026" s="13" t="n">
        <v>1.57620959033542</v>
      </c>
    </row>
    <row r="1027" customFormat="false" ht="15" hidden="false" customHeight="false" outlineLevel="0" collapsed="false">
      <c r="B1027" s="32" t="n">
        <v>1777393</v>
      </c>
      <c r="C1027" s="13" t="n">
        <v>-2.17630540020995</v>
      </c>
      <c r="D1027" s="13" t="n">
        <v>1.17693134881367</v>
      </c>
    </row>
    <row r="1028" customFormat="false" ht="15" hidden="false" customHeight="false" outlineLevel="0" collapsed="false">
      <c r="B1028" s="32" t="n">
        <v>1777921</v>
      </c>
      <c r="C1028" s="13" t="n">
        <v>-2.89817117523788</v>
      </c>
      <c r="D1028" s="13" t="n">
        <v>0.279790671762506</v>
      </c>
    </row>
    <row r="1029" customFormat="false" ht="15" hidden="false" customHeight="false" outlineLevel="0" collapsed="false">
      <c r="B1029" s="32" t="n">
        <v>1778129</v>
      </c>
      <c r="C1029" s="13" t="n">
        <v>-3.65897658772931</v>
      </c>
      <c r="D1029" s="13" t="n">
        <v>0.689959385152473</v>
      </c>
    </row>
    <row r="1030" customFormat="false" ht="15" hidden="false" customHeight="false" outlineLevel="0" collapsed="false">
      <c r="B1030" s="32" t="n">
        <v>1778982</v>
      </c>
      <c r="C1030" s="13" t="n">
        <v>-2.92487244902335</v>
      </c>
      <c r="D1030" s="13" t="n">
        <v>0.300146411888659</v>
      </c>
    </row>
    <row r="1031" customFormat="false" ht="15" hidden="false" customHeight="false" outlineLevel="0" collapsed="false">
      <c r="B1031" s="32" t="n">
        <v>1779128</v>
      </c>
      <c r="C1031" s="13" t="n">
        <v>-2.42771490570364</v>
      </c>
      <c r="D1031" s="13" t="n">
        <v>0.720615967985122</v>
      </c>
    </row>
    <row r="1032" customFormat="false" ht="15" hidden="false" customHeight="false" outlineLevel="0" collapsed="false">
      <c r="B1032" s="32" t="n">
        <v>1780201</v>
      </c>
      <c r="C1032" s="13" t="n">
        <v>-3.71698577415612</v>
      </c>
      <c r="D1032" s="13" t="n">
        <v>0.702907985759698</v>
      </c>
    </row>
    <row r="1033" customFormat="false" ht="15" hidden="false" customHeight="false" outlineLevel="0" collapsed="false">
      <c r="B1033" s="32" t="n">
        <v>1781193</v>
      </c>
      <c r="C1033" s="13" t="n">
        <v>-1.77077505315357</v>
      </c>
      <c r="D1033" s="13" t="n">
        <v>0.605587362443564</v>
      </c>
    </row>
    <row r="1034" customFormat="false" ht="15" hidden="false" customHeight="false" outlineLevel="0" collapsed="false">
      <c r="B1034" s="32" t="n">
        <v>1781335</v>
      </c>
      <c r="C1034" s="13" t="n">
        <v>-2.55227792975552</v>
      </c>
      <c r="D1034" s="13" t="n">
        <v>1.39363946578642</v>
      </c>
    </row>
    <row r="1035" customFormat="false" ht="15" hidden="false" customHeight="false" outlineLevel="0" collapsed="false">
      <c r="B1035" s="32" t="n">
        <v>1782037</v>
      </c>
      <c r="C1035" s="13" t="n">
        <v>-2.66610506511386</v>
      </c>
      <c r="D1035" s="13" t="n">
        <v>3.06868122670045</v>
      </c>
    </row>
    <row r="1036" customFormat="false" ht="15" hidden="false" customHeight="false" outlineLevel="0" collapsed="false">
      <c r="B1036" s="32" t="n">
        <v>1782754</v>
      </c>
      <c r="C1036" s="13" t="n">
        <v>-3.67338272739788</v>
      </c>
      <c r="D1036" s="13" t="n">
        <v>0.332950117248913</v>
      </c>
    </row>
    <row r="1037" customFormat="false" ht="15" hidden="false" customHeight="false" outlineLevel="0" collapsed="false">
      <c r="B1037" s="32" t="n">
        <v>1784535</v>
      </c>
      <c r="C1037" s="13" t="n">
        <v>-3.0470807737674</v>
      </c>
      <c r="D1037" s="13" t="n">
        <v>0.37809820420508</v>
      </c>
    </row>
    <row r="1038" customFormat="false" ht="15" hidden="false" customHeight="false" outlineLevel="0" collapsed="false">
      <c r="B1038" s="32" t="n">
        <v>1786352</v>
      </c>
      <c r="C1038" s="13" t="n">
        <v>-2.62234771890385</v>
      </c>
      <c r="D1038" s="13" t="n">
        <v>1.60083839515945</v>
      </c>
    </row>
    <row r="1039" customFormat="false" ht="15" hidden="false" customHeight="false" outlineLevel="0" collapsed="false">
      <c r="B1039" s="32" t="n">
        <v>1786431</v>
      </c>
      <c r="C1039" s="13" t="n">
        <v>-2.9424532826349</v>
      </c>
      <c r="D1039" s="13" t="n">
        <v>0.487203626669383</v>
      </c>
    </row>
    <row r="1040" customFormat="false" ht="15" hidden="false" customHeight="false" outlineLevel="0" collapsed="false">
      <c r="B1040" s="32" t="n">
        <v>1786842</v>
      </c>
      <c r="C1040" s="13" t="n">
        <v>-2.56687110643536</v>
      </c>
      <c r="D1040" s="13" t="n">
        <v>0.60093049892035</v>
      </c>
    </row>
    <row r="1041" customFormat="false" ht="15" hidden="false" customHeight="false" outlineLevel="0" collapsed="false">
      <c r="B1041" s="32" t="n">
        <v>1787306</v>
      </c>
      <c r="C1041" s="13" t="n">
        <v>10.1233506645833</v>
      </c>
      <c r="D1041" s="13" t="n">
        <v>0.36025804958131</v>
      </c>
    </row>
    <row r="1042" customFormat="false" ht="15" hidden="false" customHeight="false" outlineLevel="0" collapsed="false">
      <c r="B1042" s="32" t="n">
        <v>1788999</v>
      </c>
      <c r="C1042" s="13" t="n">
        <v>-3.6198343245406</v>
      </c>
      <c r="D1042" s="13" t="n">
        <v>0.636074386658277</v>
      </c>
    </row>
    <row r="1043" customFormat="false" ht="15" hidden="false" customHeight="false" outlineLevel="0" collapsed="false">
      <c r="B1043" s="32" t="n">
        <v>1789832</v>
      </c>
      <c r="C1043" s="13" t="n">
        <v>-3.25965608415324</v>
      </c>
      <c r="D1043" s="13" t="n">
        <v>0.12997561949856</v>
      </c>
    </row>
    <row r="1044" customFormat="false" ht="15" hidden="false" customHeight="false" outlineLevel="0" collapsed="false">
      <c r="B1044" s="32" t="n">
        <v>1792267</v>
      </c>
      <c r="C1044" s="13" t="n">
        <v>-4.38729351003969</v>
      </c>
      <c r="D1044" s="13" t="n">
        <v>0.159335797231636</v>
      </c>
    </row>
    <row r="1045" customFormat="false" ht="15" hidden="false" customHeight="false" outlineLevel="0" collapsed="false">
      <c r="B1045" s="32" t="n">
        <v>1793659</v>
      </c>
      <c r="C1045" s="13" t="n">
        <v>-2.7011489796215</v>
      </c>
      <c r="D1045" s="13" t="n">
        <v>0.237066639744925</v>
      </c>
    </row>
    <row r="1046" customFormat="false" ht="15" hidden="false" customHeight="false" outlineLevel="0" collapsed="false">
      <c r="B1046" s="32" t="n">
        <v>1793862</v>
      </c>
      <c r="C1046" s="13" t="n">
        <v>-3.47961540899224</v>
      </c>
      <c r="D1046" s="13" t="n">
        <v>0.356737031098422</v>
      </c>
    </row>
    <row r="1047" customFormat="false" ht="15" hidden="false" customHeight="false" outlineLevel="0" collapsed="false">
      <c r="B1047" s="32" t="n">
        <v>1794515</v>
      </c>
      <c r="C1047" s="13" t="n">
        <v>-2.5490495908681</v>
      </c>
      <c r="D1047" s="13" t="n">
        <v>0.636002856859149</v>
      </c>
    </row>
    <row r="1048" customFormat="false" ht="15" hidden="false" customHeight="false" outlineLevel="0" collapsed="false">
      <c r="B1048" s="32" t="n">
        <v>1794669</v>
      </c>
      <c r="C1048" s="13" t="n">
        <v>-2.45420616057605</v>
      </c>
      <c r="D1048" s="13" t="n">
        <v>0.710375027170947</v>
      </c>
    </row>
    <row r="1049" customFormat="false" ht="15" hidden="false" customHeight="false" outlineLevel="0" collapsed="false">
      <c r="B1049" s="32" t="n">
        <v>1794846</v>
      </c>
      <c r="C1049" s="13" t="n">
        <v>-3.04535680737644</v>
      </c>
      <c r="D1049" s="13" t="n">
        <v>0.196850097783701</v>
      </c>
    </row>
    <row r="1050" customFormat="false" ht="15" hidden="false" customHeight="false" outlineLevel="0" collapsed="false">
      <c r="B1050" s="32" t="n">
        <v>1795589</v>
      </c>
      <c r="C1050" s="13" t="n">
        <v>-3.7161651442707</v>
      </c>
      <c r="D1050" s="13" t="n">
        <v>0.319194720898446</v>
      </c>
    </row>
    <row r="1051" customFormat="false" ht="15" hidden="false" customHeight="false" outlineLevel="0" collapsed="false">
      <c r="B1051" s="32" t="n">
        <v>1796209</v>
      </c>
      <c r="C1051" s="13" t="n">
        <v>-2.68445385427275</v>
      </c>
      <c r="D1051" s="13" t="n">
        <v>0.609634154336048</v>
      </c>
    </row>
    <row r="1052" customFormat="false" ht="15" hidden="false" customHeight="false" outlineLevel="0" collapsed="false">
      <c r="B1052" s="32" t="n">
        <v>1799208</v>
      </c>
      <c r="C1052" s="13" t="n">
        <v>-2.77673212101297</v>
      </c>
      <c r="D1052" s="13" t="n">
        <v>0.67812040791557</v>
      </c>
    </row>
    <row r="1053" customFormat="false" ht="15" hidden="false" customHeight="false" outlineLevel="0" collapsed="false">
      <c r="B1053" s="32" t="n">
        <v>1799332</v>
      </c>
      <c r="C1053" s="13" t="n">
        <v>-4.40386841355636</v>
      </c>
      <c r="D1053" s="13" t="n">
        <v>0.318056076224806</v>
      </c>
    </row>
    <row r="1054" customFormat="false" ht="15" hidden="false" customHeight="false" outlineLevel="0" collapsed="false">
      <c r="B1054" s="32" t="n">
        <v>1800347</v>
      </c>
      <c r="C1054" s="13" t="n">
        <v>-4.51937832040789</v>
      </c>
      <c r="D1054" s="13" t="n">
        <v>0.559289325129835</v>
      </c>
    </row>
    <row r="1055" customFormat="false" ht="15" hidden="false" customHeight="false" outlineLevel="0" collapsed="false">
      <c r="B1055" s="32" t="n">
        <v>1800392</v>
      </c>
      <c r="C1055" s="13" t="n">
        <v>-5.9373832665554</v>
      </c>
      <c r="D1055" s="13" t="n">
        <v>0.189354875841718</v>
      </c>
    </row>
    <row r="1056" customFormat="false" ht="15" hidden="false" customHeight="false" outlineLevel="0" collapsed="false">
      <c r="B1056" s="32" t="n">
        <v>1800667</v>
      </c>
      <c r="C1056" s="13" t="n">
        <v>-3.02638183260879</v>
      </c>
      <c r="D1056" s="13" t="n">
        <v>0.641669670459383</v>
      </c>
    </row>
    <row r="1057" customFormat="false" ht="15" hidden="false" customHeight="false" outlineLevel="0" collapsed="false">
      <c r="B1057" s="32" t="n">
        <v>1801368</v>
      </c>
      <c r="C1057" s="13" t="n">
        <v>-1.79677735743599</v>
      </c>
      <c r="D1057" s="13" t="n">
        <v>0.220006333611115</v>
      </c>
    </row>
    <row r="1058" customFormat="false" ht="15" hidden="false" customHeight="false" outlineLevel="0" collapsed="false">
      <c r="B1058" s="32" t="n">
        <v>1802665</v>
      </c>
      <c r="C1058" s="13" t="n">
        <v>-2.6913351959639</v>
      </c>
      <c r="D1058" s="13" t="n">
        <v>1.24024635977185</v>
      </c>
    </row>
    <row r="1059" customFormat="false" ht="15" hidden="false" customHeight="false" outlineLevel="0" collapsed="false">
      <c r="B1059" s="32" t="n">
        <v>1802883</v>
      </c>
      <c r="C1059" s="13" t="n">
        <v>-2.60058721068584</v>
      </c>
      <c r="D1059" s="13" t="n">
        <v>1.45811010359952</v>
      </c>
    </row>
    <row r="1060" customFormat="false" ht="15" hidden="false" customHeight="false" outlineLevel="0" collapsed="false">
      <c r="B1060" s="32" t="n">
        <v>1803599</v>
      </c>
      <c r="C1060" s="13" t="n">
        <v>-2.30013694008807</v>
      </c>
      <c r="D1060" s="13" t="n">
        <v>0.824345930007157</v>
      </c>
    </row>
    <row r="1061" customFormat="false" ht="15" hidden="false" customHeight="false" outlineLevel="0" collapsed="false">
      <c r="B1061" s="32" t="n">
        <v>1803696</v>
      </c>
      <c r="C1061" s="13" t="n">
        <v>-2.67898572049842</v>
      </c>
      <c r="D1061" s="13" t="n">
        <v>0.544767780347423</v>
      </c>
    </row>
    <row r="1062" customFormat="false" ht="15" hidden="false" customHeight="false" outlineLevel="0" collapsed="false">
      <c r="B1062" s="32" t="n">
        <v>1803914</v>
      </c>
      <c r="C1062" s="13" t="n">
        <v>-5.06825003963375</v>
      </c>
      <c r="D1062" s="13" t="n">
        <v>1.23984338489495</v>
      </c>
    </row>
    <row r="1063" customFormat="false" ht="15" hidden="false" customHeight="false" outlineLevel="0" collapsed="false">
      <c r="B1063" s="32" t="n">
        <v>1804176</v>
      </c>
      <c r="C1063" s="13" t="n">
        <v>-2.1085699488955</v>
      </c>
      <c r="D1063" s="13" t="n">
        <v>0.229881604708435</v>
      </c>
    </row>
    <row r="1064" customFormat="false" ht="15" hidden="false" customHeight="false" outlineLevel="0" collapsed="false">
      <c r="B1064" s="32" t="n">
        <v>1804591</v>
      </c>
      <c r="C1064" s="13" t="n">
        <v>-6.74631863816784</v>
      </c>
      <c r="D1064" s="13" t="n">
        <v>1.09209916013347</v>
      </c>
    </row>
    <row r="1065" customFormat="false" ht="15" hidden="false" customHeight="false" outlineLevel="0" collapsed="false">
      <c r="B1065" s="32" t="n">
        <v>1805385</v>
      </c>
      <c r="C1065" s="13" t="n">
        <v>-4.45653379731144</v>
      </c>
      <c r="D1065" s="13" t="n">
        <v>1.01626793169879</v>
      </c>
    </row>
    <row r="1066" customFormat="false" ht="15" hidden="false" customHeight="false" outlineLevel="0" collapsed="false">
      <c r="B1066" s="32" t="n">
        <v>1805651</v>
      </c>
      <c r="C1066" s="13" t="n">
        <v>-3.13107639147867</v>
      </c>
      <c r="D1066" s="13" t="n">
        <v>0.972637152666201</v>
      </c>
    </row>
    <row r="1067" customFormat="false" ht="15" hidden="false" customHeight="false" outlineLevel="0" collapsed="false">
      <c r="B1067" s="32" t="n">
        <v>1805833</v>
      </c>
      <c r="C1067" s="13" t="n">
        <v>-4.4352098321929</v>
      </c>
      <c r="D1067" s="13" t="n">
        <v>0.230270930969476</v>
      </c>
    </row>
    <row r="1068" customFormat="false" ht="15" hidden="false" customHeight="false" outlineLevel="0" collapsed="false">
      <c r="B1068" s="32" t="n">
        <v>1806201</v>
      </c>
      <c r="C1068" s="13" t="n">
        <v>-3.40025411826235</v>
      </c>
      <c r="D1068" s="13" t="n">
        <v>0.197202850465965</v>
      </c>
    </row>
    <row r="1069" customFormat="false" ht="15" hidden="false" customHeight="false" outlineLevel="0" collapsed="false">
      <c r="B1069" s="32" t="n">
        <v>1806347</v>
      </c>
      <c r="C1069" s="13" t="n">
        <v>-2.27629298036607</v>
      </c>
      <c r="D1069" s="13" t="n">
        <v>0.97125650370904</v>
      </c>
    </row>
    <row r="1070" customFormat="false" ht="15" hidden="false" customHeight="false" outlineLevel="0" collapsed="false">
      <c r="B1070" s="32" t="n">
        <v>1806837</v>
      </c>
      <c r="C1070" s="13" t="n">
        <v>-2.7208878977479</v>
      </c>
      <c r="D1070" s="13" t="n">
        <v>0.595305898031106</v>
      </c>
    </row>
    <row r="1071" customFormat="false" ht="15" hidden="false" customHeight="false" outlineLevel="0" collapsed="false">
      <c r="B1071" s="32" t="n">
        <v>1807794</v>
      </c>
      <c r="C1071" s="13" t="n">
        <v>-2.94278206458488</v>
      </c>
      <c r="D1071" s="13" t="n">
        <v>0.632115691215472</v>
      </c>
    </row>
    <row r="1072" customFormat="false" ht="15" hidden="false" customHeight="false" outlineLevel="0" collapsed="false">
      <c r="B1072" s="32" t="n">
        <v>1808665</v>
      </c>
      <c r="C1072" s="13" t="n">
        <v>-9.0124295479676</v>
      </c>
      <c r="D1072" s="13" t="n">
        <v>1.22463950530409</v>
      </c>
    </row>
    <row r="1073" customFormat="false" ht="15" hidden="false" customHeight="false" outlineLevel="0" collapsed="false">
      <c r="B1073" s="32" t="n">
        <v>1808997</v>
      </c>
      <c r="C1073" s="13" t="n">
        <v>-3.08436949933185</v>
      </c>
      <c r="D1073" s="13" t="n">
        <v>0.56489772438153</v>
      </c>
    </row>
    <row r="1074" customFormat="false" ht="15" hidden="false" customHeight="false" outlineLevel="0" collapsed="false">
      <c r="B1074" s="32" t="n">
        <v>1809104</v>
      </c>
      <c r="C1074" s="13" t="n">
        <v>-3.171993263183</v>
      </c>
      <c r="D1074" s="13" t="n">
        <v>0.591930534876744</v>
      </c>
    </row>
    <row r="1075" customFormat="false" ht="15" hidden="false" customHeight="false" outlineLevel="0" collapsed="false">
      <c r="B1075" s="32" t="n">
        <v>1809519</v>
      </c>
      <c r="C1075" s="13" t="n">
        <v>-2.71533124695699</v>
      </c>
      <c r="D1075" s="13" t="n">
        <v>0.320133087918156</v>
      </c>
    </row>
    <row r="1076" customFormat="false" ht="15" hidden="false" customHeight="false" outlineLevel="0" collapsed="false">
      <c r="B1076" s="32" t="n">
        <v>1809987</v>
      </c>
      <c r="C1076" s="13" t="n">
        <v>-2.76423593861819</v>
      </c>
      <c r="D1076" s="13" t="n">
        <v>1.63923278597187</v>
      </c>
    </row>
    <row r="1077" customFormat="false" ht="15" hidden="false" customHeight="false" outlineLevel="0" collapsed="false">
      <c r="B1077" s="32" t="n">
        <v>1810806</v>
      </c>
      <c r="C1077" s="13" t="n">
        <v>-3.01689311452356</v>
      </c>
      <c r="D1077" s="13" t="n">
        <v>0.49457477635494</v>
      </c>
    </row>
    <row r="1078" customFormat="false" ht="15" hidden="false" customHeight="false" outlineLevel="0" collapsed="false">
      <c r="B1078" s="32" t="n">
        <v>1813452</v>
      </c>
      <c r="C1078" s="13" t="n">
        <v>-4.79050718362888</v>
      </c>
      <c r="D1078" s="13" t="n">
        <v>0.243473465638309</v>
      </c>
    </row>
    <row r="1079" customFormat="false" ht="15" hidden="false" customHeight="false" outlineLevel="0" collapsed="false">
      <c r="B1079" s="32" t="n">
        <v>1814423</v>
      </c>
      <c r="C1079" s="13" t="n">
        <v>-2.72687900345537</v>
      </c>
      <c r="D1079" s="13" t="n">
        <v>0.131038784339467</v>
      </c>
    </row>
    <row r="1080" customFormat="false" ht="15" hidden="false" customHeight="false" outlineLevel="0" collapsed="false">
      <c r="B1080" s="32" t="n">
        <v>1815849</v>
      </c>
      <c r="C1080" s="13" t="n">
        <v>-2.40399051376933</v>
      </c>
      <c r="D1080" s="13" t="n">
        <v>0.426558551906243</v>
      </c>
    </row>
    <row r="1081" customFormat="false" ht="15" hidden="false" customHeight="false" outlineLevel="0" collapsed="false">
      <c r="B1081" s="32" t="n">
        <v>1816017</v>
      </c>
      <c r="C1081" s="13" t="n">
        <v>-3.64911877754661</v>
      </c>
      <c r="D1081" s="13" t="n">
        <v>0.868874613073114</v>
      </c>
    </row>
    <row r="1082" customFormat="false" ht="15" hidden="false" customHeight="false" outlineLevel="0" collapsed="false">
      <c r="B1082" s="32" t="n">
        <v>1816581</v>
      </c>
      <c r="C1082" s="13" t="n">
        <v>-4.70247060420154</v>
      </c>
      <c r="D1082" s="13" t="n">
        <v>1.59799955727433</v>
      </c>
    </row>
    <row r="1083" customFormat="false" ht="15" hidden="false" customHeight="false" outlineLevel="0" collapsed="false">
      <c r="B1083" s="32" t="n">
        <v>1816613</v>
      </c>
      <c r="C1083" s="13" t="n">
        <v>-3.84756330122925</v>
      </c>
      <c r="D1083" s="13" t="n">
        <v>0.247103458089217</v>
      </c>
    </row>
    <row r="1084" customFormat="false" ht="15" hidden="false" customHeight="false" outlineLevel="0" collapsed="false">
      <c r="B1084" s="32" t="n">
        <v>1817358</v>
      </c>
      <c r="C1084" s="13" t="n">
        <v>-2.264581142762</v>
      </c>
      <c r="D1084" s="13" t="n">
        <v>0.547071113580456</v>
      </c>
    </row>
    <row r="1085" customFormat="false" ht="15" hidden="false" customHeight="false" outlineLevel="0" collapsed="false">
      <c r="B1085" s="32" t="n">
        <v>1818201</v>
      </c>
      <c r="C1085" s="13" t="n">
        <v>-3.00362262997034</v>
      </c>
      <c r="D1085" s="13" t="n">
        <v>0.595819065365356</v>
      </c>
    </row>
    <row r="1086" customFormat="false" ht="15" hidden="false" customHeight="false" outlineLevel="0" collapsed="false">
      <c r="B1086" s="32" t="n">
        <v>1819253</v>
      </c>
      <c r="C1086" s="13" t="n">
        <v>-2.4128665217837</v>
      </c>
      <c r="D1086" s="13" t="n">
        <v>0.258418450034077</v>
      </c>
    </row>
    <row r="1087" customFormat="false" ht="15" hidden="false" customHeight="false" outlineLevel="0" collapsed="false">
      <c r="B1087" s="32" t="n">
        <v>1819394</v>
      </c>
      <c r="C1087" s="13" t="n">
        <v>-3.62303145644092</v>
      </c>
      <c r="D1087" s="13" t="n">
        <v>0.5720471068978</v>
      </c>
    </row>
    <row r="1088" customFormat="false" ht="15" hidden="false" customHeight="false" outlineLevel="0" collapsed="false">
      <c r="B1088" s="32" t="n">
        <v>1819395</v>
      </c>
      <c r="C1088" s="13" t="n">
        <v>-2.83455973567058</v>
      </c>
      <c r="D1088" s="13" t="n">
        <v>0.561333702650769</v>
      </c>
    </row>
    <row r="1089" customFormat="false" ht="15" hidden="false" customHeight="false" outlineLevel="0" collapsed="false">
      <c r="B1089" s="32" t="n">
        <v>1819404</v>
      </c>
      <c r="C1089" s="13" t="n">
        <v>-3.33062712575372</v>
      </c>
      <c r="D1089" s="13" t="n">
        <v>0.234950657490285</v>
      </c>
    </row>
    <row r="1090" customFormat="false" ht="15" hidden="false" customHeight="false" outlineLevel="0" collapsed="false">
      <c r="B1090" s="32" t="n">
        <v>1819516</v>
      </c>
      <c r="C1090" s="13" t="n">
        <v>-2.26308878234771</v>
      </c>
      <c r="D1090" s="13" t="n">
        <v>0.786011550060611</v>
      </c>
    </row>
    <row r="1091" customFormat="false" ht="15" hidden="false" customHeight="false" outlineLevel="0" collapsed="false">
      <c r="B1091" s="32" t="n">
        <v>1819574</v>
      </c>
      <c r="C1091" s="13" t="n">
        <v>-2.9919547271974</v>
      </c>
      <c r="D1091" s="13" t="n">
        <v>0.219954456591628</v>
      </c>
    </row>
    <row r="1092" customFormat="false" ht="15" hidden="false" customHeight="false" outlineLevel="0" collapsed="false">
      <c r="B1092" s="32" t="n">
        <v>1819580</v>
      </c>
      <c r="C1092" s="13" t="n">
        <v>-7.43126686016255</v>
      </c>
      <c r="D1092" s="13" t="n">
        <v>1.02070577070093</v>
      </c>
    </row>
    <row r="1093" customFormat="false" ht="15" hidden="false" customHeight="false" outlineLevel="0" collapsed="false">
      <c r="B1093" s="32" t="n">
        <v>1819928</v>
      </c>
      <c r="C1093" s="13" t="n">
        <v>-2.43881665096341</v>
      </c>
      <c r="D1093" s="13" t="n">
        <v>0.510750560203479</v>
      </c>
    </row>
    <row r="1094" customFormat="false" ht="15" hidden="false" customHeight="false" outlineLevel="0" collapsed="false">
      <c r="B1094" s="32" t="n">
        <v>1819994</v>
      </c>
      <c r="C1094" s="13" t="n">
        <v>-3.06726115174447</v>
      </c>
      <c r="D1094" s="13" t="n">
        <v>0.41491842465256</v>
      </c>
    </row>
    <row r="1095" customFormat="false" ht="15" hidden="false" customHeight="false" outlineLevel="0" collapsed="false">
      <c r="B1095" s="32" t="n">
        <v>1820144</v>
      </c>
      <c r="C1095" s="13" t="n">
        <v>-3.00516111551734</v>
      </c>
      <c r="D1095" s="13" t="n">
        <v>0.752549441029801</v>
      </c>
    </row>
    <row r="1096" customFormat="false" ht="15" hidden="false" customHeight="false" outlineLevel="0" collapsed="false">
      <c r="B1096" s="32" t="n">
        <v>1820302</v>
      </c>
      <c r="C1096" s="13" t="n">
        <v>6.86999859892082</v>
      </c>
      <c r="D1096" s="13" t="n">
        <v>0.360621372364831</v>
      </c>
    </row>
    <row r="1097" customFormat="false" ht="15" hidden="false" customHeight="false" outlineLevel="0" collapsed="false">
      <c r="B1097" s="32" t="n">
        <v>1820566</v>
      </c>
      <c r="C1097" s="13" t="n">
        <v>-2.41067196166835</v>
      </c>
      <c r="D1097" s="13" t="n">
        <v>1.40653346859476</v>
      </c>
    </row>
    <row r="1098" customFormat="false" ht="15" hidden="false" customHeight="false" outlineLevel="0" collapsed="false">
      <c r="B1098" s="32" t="n">
        <v>1820721</v>
      </c>
      <c r="C1098" s="13" t="n">
        <v>-3.11184714744685</v>
      </c>
      <c r="D1098" s="13" t="n">
        <v>0.435058271732163</v>
      </c>
    </row>
    <row r="1099" customFormat="false" ht="15" hidden="false" customHeight="false" outlineLevel="0" collapsed="false">
      <c r="B1099" s="32" t="n">
        <v>1821159</v>
      </c>
      <c r="C1099" s="13" t="n">
        <v>-2.14848314991619</v>
      </c>
      <c r="D1099" s="13" t="n">
        <v>0.275877081318713</v>
      </c>
    </row>
    <row r="1100" customFormat="false" ht="15" hidden="false" customHeight="false" outlineLevel="0" collapsed="false">
      <c r="B1100" s="32" t="n">
        <v>1821769</v>
      </c>
      <c r="C1100" s="13" t="n">
        <v>-2.62746018818895</v>
      </c>
      <c r="D1100" s="13" t="n">
        <v>1.97243024049586</v>
      </c>
    </row>
    <row r="1101" customFormat="false" ht="15" hidden="false" customHeight="false" outlineLevel="0" collapsed="false">
      <c r="B1101" s="32" t="n">
        <v>1821806</v>
      </c>
      <c r="C1101" s="13" t="n">
        <v>-2.7726250762974</v>
      </c>
      <c r="D1101" s="13" t="n">
        <v>0.580349931864371</v>
      </c>
    </row>
    <row r="1102" customFormat="false" ht="15" hidden="false" customHeight="false" outlineLevel="0" collapsed="false">
      <c r="B1102" s="32" t="n">
        <v>1821825</v>
      </c>
      <c r="C1102" s="13" t="n">
        <v>-2.21671307217674</v>
      </c>
      <c r="D1102" s="13" t="n">
        <v>1.72000314008243</v>
      </c>
    </row>
    <row r="1103" customFormat="false" ht="15" hidden="false" customHeight="false" outlineLevel="0" collapsed="false">
      <c r="B1103" s="32" t="n">
        <v>1822492</v>
      </c>
      <c r="C1103" s="13" t="n">
        <v>-2.75593122616477</v>
      </c>
      <c r="D1103" s="13" t="n">
        <v>0.56773882579091</v>
      </c>
    </row>
    <row r="1104" customFormat="false" ht="15" hidden="false" customHeight="false" outlineLevel="0" collapsed="false">
      <c r="B1104" s="32" t="n">
        <v>1823144</v>
      </c>
      <c r="C1104" s="13" t="n">
        <v>-2.20547393892681</v>
      </c>
      <c r="D1104" s="13" t="n">
        <v>0.348632131660227</v>
      </c>
    </row>
    <row r="1105" customFormat="false" ht="15" hidden="false" customHeight="false" outlineLevel="0" collapsed="false">
      <c r="B1105" s="32" t="n">
        <v>1823239</v>
      </c>
      <c r="C1105" s="13" t="n">
        <v>-4.01282842340458</v>
      </c>
      <c r="D1105" s="13" t="n">
        <v>0.289503289097027</v>
      </c>
    </row>
    <row r="1106" customFormat="false" ht="15" hidden="false" customHeight="false" outlineLevel="0" collapsed="false">
      <c r="B1106" s="32" t="n">
        <v>1823466</v>
      </c>
      <c r="C1106" s="13" t="n">
        <v>-3.51922995121172</v>
      </c>
      <c r="D1106" s="13" t="n">
        <v>1.33296543234474</v>
      </c>
    </row>
    <row r="1107" customFormat="false" ht="15" hidden="false" customHeight="false" outlineLevel="0" collapsed="false">
      <c r="B1107" s="32" t="n">
        <v>1823878</v>
      </c>
      <c r="C1107" s="13" t="n">
        <v>-3.304372728195</v>
      </c>
      <c r="D1107" s="13" t="n">
        <v>0.330183215228151</v>
      </c>
    </row>
    <row r="1108" customFormat="false" ht="15" hidden="false" customHeight="false" outlineLevel="0" collapsed="false">
      <c r="B1108" s="32" t="n">
        <v>1824403</v>
      </c>
      <c r="C1108" s="13" t="n">
        <v>-2.59467579963794</v>
      </c>
      <c r="D1108" s="13" t="n">
        <v>0.735004046052066</v>
      </c>
    </row>
    <row r="1109" customFormat="false" ht="15" hidden="false" customHeight="false" outlineLevel="0" collapsed="false">
      <c r="B1109" s="32" t="n">
        <v>1824814</v>
      </c>
      <c r="C1109" s="13" t="n">
        <v>-2.94330181867611</v>
      </c>
      <c r="D1109" s="13" t="n">
        <v>0.374644056997533</v>
      </c>
    </row>
    <row r="1110" customFormat="false" ht="15" hidden="false" customHeight="false" outlineLevel="0" collapsed="false">
      <c r="B1110" s="32" t="n">
        <v>1825024</v>
      </c>
      <c r="C1110" s="13" t="n">
        <v>3.17382206108056</v>
      </c>
      <c r="D1110" s="13" t="n">
        <v>0.216647539162995</v>
      </c>
    </row>
    <row r="1111" customFormat="false" ht="15" hidden="false" customHeight="false" outlineLevel="0" collapsed="false">
      <c r="B1111" s="32" t="n">
        <v>1825079</v>
      </c>
      <c r="C1111" s="13" t="n">
        <v>-4.05605164264967</v>
      </c>
      <c r="D1111" s="13" t="n">
        <v>0.618360612581661</v>
      </c>
    </row>
    <row r="1112" customFormat="false" ht="15" hidden="false" customHeight="false" outlineLevel="0" collapsed="false">
      <c r="B1112" s="32" t="n">
        <v>1826470</v>
      </c>
      <c r="C1112" s="13" t="n">
        <v>-3.95996744907446</v>
      </c>
      <c r="D1112" s="13" t="n">
        <v>1.54609866535772</v>
      </c>
    </row>
    <row r="1113" customFormat="false" ht="15" hidden="false" customHeight="false" outlineLevel="0" collapsed="false">
      <c r="B1113" s="32" t="n">
        <v>1826600</v>
      </c>
      <c r="C1113" s="13" t="n">
        <v>-1.64521288858848</v>
      </c>
      <c r="D1113" s="13" t="n">
        <v>0.488978157867902</v>
      </c>
    </row>
    <row r="1114" customFormat="false" ht="15" hidden="false" customHeight="false" outlineLevel="0" collapsed="false">
      <c r="B1114" s="32" t="n">
        <v>1826889</v>
      </c>
      <c r="C1114" s="13" t="n">
        <v>-4.21398462826639</v>
      </c>
      <c r="D1114" s="13" t="n">
        <v>0.901181734613815</v>
      </c>
    </row>
    <row r="1115" customFormat="false" ht="15" hidden="false" customHeight="false" outlineLevel="0" collapsed="false">
      <c r="B1115" s="32" t="n">
        <v>1827090</v>
      </c>
      <c r="C1115" s="13" t="n">
        <v>-2.9390642827116</v>
      </c>
      <c r="D1115" s="13" t="n">
        <v>0.564543034108118</v>
      </c>
    </row>
    <row r="1116" customFormat="false" ht="15" hidden="false" customHeight="false" outlineLevel="0" collapsed="false">
      <c r="B1116" s="32" t="n">
        <v>1827821</v>
      </c>
      <c r="C1116" s="13" t="n">
        <v>-3.08434570030332</v>
      </c>
      <c r="D1116" s="13" t="n">
        <v>0.252261186941679</v>
      </c>
    </row>
    <row r="1117" customFormat="false" ht="15" hidden="false" customHeight="false" outlineLevel="0" collapsed="false">
      <c r="B1117" s="32" t="n">
        <v>1828161</v>
      </c>
      <c r="C1117" s="13" t="n">
        <v>-4.43082433401854</v>
      </c>
      <c r="D1117" s="13" t="n">
        <v>1.47347253851012</v>
      </c>
    </row>
    <row r="1118" customFormat="false" ht="15" hidden="false" customHeight="false" outlineLevel="0" collapsed="false">
      <c r="B1118" s="32" t="n">
        <v>1828723</v>
      </c>
      <c r="C1118" s="13" t="n">
        <v>-2.41645013416307</v>
      </c>
      <c r="D1118" s="13" t="n">
        <v>0.457797968215992</v>
      </c>
    </row>
    <row r="1119" customFormat="false" ht="15" hidden="false" customHeight="false" outlineLevel="0" collapsed="false">
      <c r="B1119" s="32" t="n">
        <v>1828791</v>
      </c>
      <c r="C1119" s="13" t="n">
        <v>-2.9879104499704</v>
      </c>
      <c r="D1119" s="13" t="n">
        <v>0.238744185640227</v>
      </c>
    </row>
    <row r="1120" customFormat="false" ht="15" hidden="false" customHeight="false" outlineLevel="0" collapsed="false">
      <c r="B1120" s="32" t="n">
        <v>1828852</v>
      </c>
      <c r="C1120" s="13" t="n">
        <v>0.00543184349114068</v>
      </c>
      <c r="D1120" s="13" t="n">
        <v>2.97257834724257</v>
      </c>
    </row>
    <row r="1121" customFormat="false" ht="15" hidden="false" customHeight="false" outlineLevel="0" collapsed="false">
      <c r="B1121" s="32" t="n">
        <v>1828962</v>
      </c>
      <c r="C1121" s="13" t="n">
        <v>-4.03994344280545</v>
      </c>
      <c r="D1121" s="13" t="n">
        <v>0.326927271235162</v>
      </c>
    </row>
    <row r="1122" customFormat="false" ht="15" hidden="false" customHeight="false" outlineLevel="0" collapsed="false">
      <c r="B1122" s="32" t="n">
        <v>1828972</v>
      </c>
      <c r="C1122" s="13" t="n">
        <v>-3.81257661560698</v>
      </c>
      <c r="D1122" s="13" t="n">
        <v>0.40078188364154</v>
      </c>
    </row>
    <row r="1123" customFormat="false" ht="15" hidden="false" customHeight="false" outlineLevel="0" collapsed="false">
      <c r="B1123" s="32" t="n">
        <v>1829118</v>
      </c>
      <c r="C1123" s="13" t="n">
        <v>-0.582440295809994</v>
      </c>
      <c r="D1123" s="13" t="n">
        <v>0.202990745495333</v>
      </c>
    </row>
    <row r="1124" customFormat="false" ht="15" hidden="false" customHeight="false" outlineLevel="0" collapsed="false">
      <c r="B1124" s="32" t="n">
        <v>1829864</v>
      </c>
      <c r="C1124" s="13" t="n">
        <v>-3.01190587213687</v>
      </c>
      <c r="D1124" s="13" t="n">
        <v>0.458718084772612</v>
      </c>
    </row>
    <row r="1125" customFormat="false" ht="15" hidden="false" customHeight="false" outlineLevel="0" collapsed="false">
      <c r="B1125" s="32" t="n">
        <v>1830043</v>
      </c>
      <c r="C1125" s="13" t="n">
        <v>-2.43546272195587</v>
      </c>
      <c r="D1125" s="13" t="n">
        <v>0.605648014710932</v>
      </c>
    </row>
    <row r="1126" customFormat="false" ht="15" hidden="false" customHeight="false" outlineLevel="0" collapsed="false">
      <c r="B1126" s="32" t="n">
        <v>1830081</v>
      </c>
      <c r="C1126" s="13" t="n">
        <v>0.022554282354105</v>
      </c>
      <c r="D1126" s="13" t="n">
        <v>0.261299124317478</v>
      </c>
    </row>
    <row r="1127" customFormat="false" ht="15" hidden="false" customHeight="false" outlineLevel="0" collapsed="false">
      <c r="B1127" s="32" t="n">
        <v>1830210</v>
      </c>
      <c r="C1127" s="13" t="n">
        <v>-4.04028809160719</v>
      </c>
      <c r="D1127" s="13" t="n">
        <v>0.389455860797018</v>
      </c>
    </row>
    <row r="1128" customFormat="false" ht="15" hidden="false" customHeight="false" outlineLevel="0" collapsed="false">
      <c r="B1128" s="32" t="n">
        <v>1830214</v>
      </c>
      <c r="C1128" s="13" t="n">
        <v>-2.86008448927646</v>
      </c>
      <c r="D1128" s="13" t="n">
        <v>0.148173590987807</v>
      </c>
    </row>
    <row r="1129" customFormat="false" ht="15" hidden="false" customHeight="false" outlineLevel="0" collapsed="false">
      <c r="B1129" s="32" t="n">
        <v>1831651</v>
      </c>
      <c r="C1129" s="13" t="n">
        <v>-1.71827041175026</v>
      </c>
      <c r="D1129" s="13" t="n">
        <v>1.26727193400274</v>
      </c>
    </row>
    <row r="1130" customFormat="false" ht="15" hidden="false" customHeight="false" outlineLevel="0" collapsed="false">
      <c r="B1130" s="32" t="n">
        <v>1831915</v>
      </c>
      <c r="C1130" s="13" t="n">
        <v>34.4216394451745</v>
      </c>
      <c r="D1130" s="13" t="n">
        <v>0.0520201418684915</v>
      </c>
    </row>
    <row r="1131" customFormat="false" ht="15" hidden="false" customHeight="false" outlineLevel="0" collapsed="false">
      <c r="B1131" s="32" t="n">
        <v>1832332</v>
      </c>
      <c r="C1131" s="13" t="n">
        <v>-2.50404700856136</v>
      </c>
      <c r="D1131" s="13" t="n">
        <v>0.477854903786214</v>
      </c>
    </row>
    <row r="1132" customFormat="false" ht="15" hidden="false" customHeight="false" outlineLevel="0" collapsed="false">
      <c r="B1132" s="32" t="n">
        <v>1832433</v>
      </c>
      <c r="C1132" s="13" t="n">
        <v>-2.69140479308117</v>
      </c>
      <c r="D1132" s="13" t="n">
        <v>0.547110810998101</v>
      </c>
    </row>
    <row r="1133" customFormat="false" ht="15" hidden="false" customHeight="false" outlineLevel="0" collapsed="false">
      <c r="B1133" s="32" t="n">
        <v>1832466</v>
      </c>
      <c r="C1133" s="13" t="n">
        <v>-2.8753612001295</v>
      </c>
      <c r="D1133" s="13" t="n">
        <v>0.430444855622681</v>
      </c>
    </row>
    <row r="1134" customFormat="false" ht="15" hidden="false" customHeight="false" outlineLevel="0" collapsed="false">
      <c r="B1134" s="32" t="n">
        <v>1833835</v>
      </c>
      <c r="C1134" s="13" t="n">
        <v>-2.61933461989342</v>
      </c>
      <c r="D1134" s="13" t="n">
        <v>1.48070918232587</v>
      </c>
    </row>
    <row r="1135" customFormat="false" ht="15" hidden="false" customHeight="false" outlineLevel="0" collapsed="false">
      <c r="B1135" s="32" t="n">
        <v>1834045</v>
      </c>
      <c r="C1135" s="13" t="n">
        <v>-4.76932261229139</v>
      </c>
      <c r="D1135" s="13" t="n">
        <v>0.919194031815215</v>
      </c>
    </row>
    <row r="1136" customFormat="false" ht="15" hidden="false" customHeight="false" outlineLevel="0" collapsed="false">
      <c r="B1136" s="32" t="n">
        <v>1834488</v>
      </c>
      <c r="C1136" s="13" t="n">
        <v>-2.61741015334907</v>
      </c>
      <c r="D1136" s="13" t="n">
        <v>0.548286662472596</v>
      </c>
    </row>
    <row r="1137" customFormat="false" ht="15" hidden="false" customHeight="false" outlineLevel="0" collapsed="false">
      <c r="B1137" s="32" t="n">
        <v>1834489</v>
      </c>
      <c r="C1137" s="13" t="n">
        <v>-2.71696433090143</v>
      </c>
      <c r="D1137" s="13" t="n">
        <v>0.57553552792678</v>
      </c>
    </row>
    <row r="1138" customFormat="false" ht="15" hidden="false" customHeight="false" outlineLevel="0" collapsed="false">
      <c r="B1138" s="32" t="n">
        <v>1834584</v>
      </c>
      <c r="C1138" s="13" t="n">
        <v>0.149288009624709</v>
      </c>
      <c r="D1138" s="13" t="n">
        <v>0.223909781792031</v>
      </c>
    </row>
    <row r="1139" customFormat="false" ht="15" hidden="false" customHeight="false" outlineLevel="0" collapsed="false">
      <c r="B1139" s="32" t="n">
        <v>1835378</v>
      </c>
      <c r="C1139" s="13" t="n">
        <v>-3.3724725288062</v>
      </c>
      <c r="D1139" s="13" t="n">
        <v>1.2212061602478</v>
      </c>
    </row>
    <row r="1140" customFormat="false" ht="15" hidden="false" customHeight="false" outlineLevel="0" collapsed="false">
      <c r="B1140" s="32" t="n">
        <v>1835591</v>
      </c>
      <c r="C1140" s="13" t="n">
        <v>-2.35285165527448</v>
      </c>
      <c r="D1140" s="13" t="n">
        <v>0.501285225185155</v>
      </c>
    </row>
    <row r="1141" customFormat="false" ht="15" hidden="false" customHeight="false" outlineLevel="0" collapsed="false">
      <c r="B1141" s="32" t="n">
        <v>1835615</v>
      </c>
      <c r="C1141" s="13" t="n">
        <v>-1.78800052282228</v>
      </c>
      <c r="D1141" s="13" t="n">
        <v>0.650269464633733</v>
      </c>
    </row>
    <row r="1142" customFormat="false" ht="15" hidden="false" customHeight="false" outlineLevel="0" collapsed="false">
      <c r="B1142" s="32" t="n">
        <v>1835632</v>
      </c>
      <c r="C1142" s="13" t="n">
        <v>-2.81189547089308</v>
      </c>
      <c r="D1142" s="13" t="n">
        <v>1.69273534459772</v>
      </c>
    </row>
    <row r="1143" customFormat="false" ht="15" hidden="false" customHeight="false" outlineLevel="0" collapsed="false">
      <c r="B1143" s="32" t="n">
        <v>1835681</v>
      </c>
      <c r="C1143" s="13" t="n">
        <v>-2.44426165557799</v>
      </c>
      <c r="D1143" s="13" t="n">
        <v>0.75338303298664</v>
      </c>
    </row>
    <row r="1144" customFormat="false" ht="15" hidden="false" customHeight="false" outlineLevel="0" collapsed="false">
      <c r="B1144" s="32" t="n">
        <v>1835830</v>
      </c>
      <c r="C1144" s="13" t="n">
        <v>-3.52281171399814</v>
      </c>
      <c r="D1144" s="13" t="n">
        <v>0.194151711656529</v>
      </c>
    </row>
    <row r="1145" customFormat="false" ht="15" hidden="false" customHeight="false" outlineLevel="0" collapsed="false">
      <c r="B1145" s="32" t="n">
        <v>1835963</v>
      </c>
      <c r="C1145" s="13" t="n">
        <v>-3.06553069178643</v>
      </c>
      <c r="D1145" s="13" t="n">
        <v>0.502407938476991</v>
      </c>
    </row>
    <row r="1146" customFormat="false" ht="15" hidden="false" customHeight="false" outlineLevel="0" collapsed="false">
      <c r="B1146" s="32" t="n">
        <v>1836833</v>
      </c>
      <c r="C1146" s="13" t="n">
        <v>-2.90814850251379</v>
      </c>
      <c r="D1146" s="13" t="n">
        <v>0.445489401941009</v>
      </c>
    </row>
    <row r="1147" customFormat="false" ht="15" hidden="false" customHeight="false" outlineLevel="0" collapsed="false">
      <c r="B1147" s="32" t="n">
        <v>1836981</v>
      </c>
      <c r="C1147" s="13" t="n">
        <v>-3.9183631603497</v>
      </c>
      <c r="D1147" s="13" t="n">
        <v>0.443385577297934</v>
      </c>
    </row>
    <row r="1148" customFormat="false" ht="15" hidden="false" customHeight="false" outlineLevel="0" collapsed="false">
      <c r="B1148" s="32" t="n">
        <v>1837014</v>
      </c>
      <c r="C1148" s="13" t="n">
        <v>-3.26590185477904</v>
      </c>
      <c r="D1148" s="13" t="n">
        <v>0.279873460477928</v>
      </c>
    </row>
    <row r="1149" customFormat="false" ht="15" hidden="false" customHeight="false" outlineLevel="0" collapsed="false">
      <c r="B1149" s="32" t="n">
        <v>1837240</v>
      </c>
      <c r="C1149" s="13" t="n">
        <v>-1.32783749484883</v>
      </c>
      <c r="D1149" s="13" t="n">
        <v>0.429285250392411</v>
      </c>
    </row>
    <row r="1150" customFormat="false" ht="15" hidden="false" customHeight="false" outlineLevel="0" collapsed="false">
      <c r="B1150" s="32" t="n">
        <v>1838672</v>
      </c>
      <c r="C1150" s="13" t="n">
        <v>-2.40336726227178</v>
      </c>
      <c r="D1150" s="13" t="n">
        <v>0.53296083747111</v>
      </c>
    </row>
    <row r="1151" customFormat="false" ht="15" hidden="false" customHeight="false" outlineLevel="0" collapsed="false">
      <c r="B1151" s="32" t="n">
        <v>1839439</v>
      </c>
      <c r="C1151" s="13" t="n">
        <v>-2.41878009655379</v>
      </c>
      <c r="D1151" s="13" t="n">
        <v>0.71587783045419</v>
      </c>
    </row>
    <row r="1152" customFormat="false" ht="15" hidden="false" customHeight="false" outlineLevel="0" collapsed="false">
      <c r="B1152" s="32" t="n">
        <v>1839608</v>
      </c>
      <c r="C1152" s="13" t="n">
        <v>-3.91605656345183</v>
      </c>
      <c r="D1152" s="13" t="n">
        <v>0.517044463199071</v>
      </c>
    </row>
    <row r="1153" customFormat="false" ht="15" hidden="false" customHeight="false" outlineLevel="0" collapsed="false">
      <c r="B1153" s="32" t="n">
        <v>1840776</v>
      </c>
      <c r="C1153" s="13" t="n">
        <v>-2.70643436226563</v>
      </c>
      <c r="D1153" s="13" t="n">
        <v>1.99922557407687</v>
      </c>
    </row>
    <row r="1154" customFormat="false" ht="15" hidden="false" customHeight="false" outlineLevel="0" collapsed="false">
      <c r="B1154" s="32" t="n">
        <v>1841804</v>
      </c>
      <c r="C1154" s="13" t="n">
        <v>-2.99566871579867</v>
      </c>
      <c r="D1154" s="13" t="n">
        <v>1.42645983640426</v>
      </c>
    </row>
    <row r="1155" customFormat="false" ht="15" hidden="false" customHeight="false" outlineLevel="0" collapsed="false">
      <c r="B1155" s="32" t="n">
        <v>1841925</v>
      </c>
      <c r="C1155" s="13" t="n">
        <v>-1.09637480812706</v>
      </c>
      <c r="D1155" s="13" t="n">
        <v>1.01448988772673</v>
      </c>
    </row>
    <row r="1156" customFormat="false" ht="15" hidden="false" customHeight="false" outlineLevel="0" collapsed="false">
      <c r="B1156" s="32" t="n">
        <v>1842022</v>
      </c>
      <c r="C1156" s="13" t="n">
        <v>-2.75274242749224</v>
      </c>
      <c r="D1156" s="13" t="n">
        <v>0.273992596828484</v>
      </c>
    </row>
    <row r="1157" customFormat="false" ht="15" hidden="false" customHeight="false" outlineLevel="0" collapsed="false">
      <c r="B1157" s="32" t="n">
        <v>1842718</v>
      </c>
      <c r="C1157" s="13" t="n">
        <v>-2.82179285092421</v>
      </c>
      <c r="D1157" s="13" t="n">
        <v>0.647473824090692</v>
      </c>
    </row>
    <row r="1158" customFormat="false" ht="15" hidden="false" customHeight="false" outlineLevel="0" collapsed="false">
      <c r="B1158" s="32" t="n">
        <v>1842731</v>
      </c>
      <c r="C1158" s="13" t="n">
        <v>-2.87436021862518</v>
      </c>
      <c r="D1158" s="13" t="n">
        <v>0.288488656394483</v>
      </c>
    </row>
    <row r="1159" customFormat="false" ht="15" hidden="false" customHeight="false" outlineLevel="0" collapsed="false">
      <c r="B1159" s="32" t="n">
        <v>1844452</v>
      </c>
      <c r="C1159" s="13" t="n">
        <v>17.2492161116198</v>
      </c>
      <c r="D1159" s="13" t="n">
        <v>2.47120310065719</v>
      </c>
    </row>
    <row r="1160" customFormat="false" ht="15" hidden="false" customHeight="false" outlineLevel="0" collapsed="false">
      <c r="B1160" s="32" t="n">
        <v>1845022</v>
      </c>
      <c r="C1160" s="13" t="n">
        <v>-3.38933578089675</v>
      </c>
      <c r="D1160" s="13" t="n">
        <v>0.53751679209316</v>
      </c>
    </row>
    <row r="1161" customFormat="false" ht="15" hidden="false" customHeight="false" outlineLevel="0" collapsed="false">
      <c r="B1161" s="32" t="n">
        <v>1845257</v>
      </c>
      <c r="C1161" s="13" t="n">
        <v>-2.72463415999896</v>
      </c>
      <c r="D1161" s="13" t="n">
        <v>1.62892406414796</v>
      </c>
    </row>
    <row r="1162" customFormat="false" ht="15" hidden="false" customHeight="false" outlineLevel="0" collapsed="false">
      <c r="B1162" s="32" t="n">
        <v>1845338</v>
      </c>
      <c r="C1162" s="13" t="n">
        <v>-3.13961300742526</v>
      </c>
      <c r="D1162" s="13" t="n">
        <v>0.108827760132479</v>
      </c>
    </row>
    <row r="1163" customFormat="false" ht="15" hidden="false" customHeight="false" outlineLevel="0" collapsed="false">
      <c r="B1163" s="32" t="n">
        <v>1845815</v>
      </c>
      <c r="C1163" s="13" t="n">
        <v>-2.60040548826057</v>
      </c>
      <c r="D1163" s="13" t="n">
        <v>0.64180518222156</v>
      </c>
    </row>
    <row r="1164" customFormat="false" ht="15" hidden="false" customHeight="false" outlineLevel="0" collapsed="false">
      <c r="B1164" s="32" t="n">
        <v>1846069</v>
      </c>
      <c r="C1164" s="13" t="n">
        <v>-1.01187962882844</v>
      </c>
      <c r="D1164" s="13" t="n">
        <v>1.48152933924263</v>
      </c>
    </row>
    <row r="1165" customFormat="false" ht="15" hidden="false" customHeight="false" outlineLevel="0" collapsed="false">
      <c r="B1165" s="32" t="n">
        <v>1846084</v>
      </c>
      <c r="C1165" s="13" t="n">
        <v>-1.33949985560991</v>
      </c>
      <c r="D1165" s="13" t="n">
        <v>1.57711557740805</v>
      </c>
    </row>
    <row r="1166" customFormat="false" ht="15" hidden="false" customHeight="false" outlineLevel="0" collapsed="false">
      <c r="B1166" s="32" t="n">
        <v>1846510</v>
      </c>
      <c r="C1166" s="13" t="n">
        <v>-2.51668607240406</v>
      </c>
      <c r="D1166" s="13" t="n">
        <v>1.06678003994452</v>
      </c>
    </row>
    <row r="1167" customFormat="false" ht="15" hidden="false" customHeight="false" outlineLevel="0" collapsed="false">
      <c r="B1167" s="32" t="n">
        <v>1846576</v>
      </c>
      <c r="C1167" s="13" t="n">
        <v>-2.69017896681922</v>
      </c>
      <c r="D1167" s="13" t="n">
        <v>0.36552913938217</v>
      </c>
    </row>
    <row r="1168" customFormat="false" ht="15" hidden="false" customHeight="false" outlineLevel="0" collapsed="false">
      <c r="B1168" s="32" t="n">
        <v>1847462</v>
      </c>
      <c r="C1168" s="13" t="n">
        <v>-3.06108023675966</v>
      </c>
      <c r="D1168" s="13" t="n">
        <v>0.402993186737957</v>
      </c>
    </row>
    <row r="1169" customFormat="false" ht="15" hidden="false" customHeight="false" outlineLevel="0" collapsed="false">
      <c r="B1169" s="32" t="n">
        <v>1847590</v>
      </c>
      <c r="C1169" s="13" t="n">
        <v>-2.41107081668152</v>
      </c>
      <c r="D1169" s="13" t="n">
        <v>2.52350020683484</v>
      </c>
    </row>
    <row r="1170" customFormat="false" ht="15" hidden="false" customHeight="false" outlineLevel="0" collapsed="false">
      <c r="B1170" s="32" t="n">
        <v>1847986</v>
      </c>
      <c r="C1170" s="13" t="n">
        <v>-2.00599794477453</v>
      </c>
      <c r="D1170" s="13" t="n">
        <v>0.258535920452497</v>
      </c>
    </row>
    <row r="1171" customFormat="false" ht="15" hidden="false" customHeight="false" outlineLevel="0" collapsed="false">
      <c r="B1171" s="32" t="n">
        <v>1848416</v>
      </c>
      <c r="C1171" s="13" t="n">
        <v>-1.58871109441565</v>
      </c>
      <c r="D1171" s="13" t="n">
        <v>1.10032250929418</v>
      </c>
    </row>
    <row r="1172" customFormat="false" ht="15" hidden="false" customHeight="false" outlineLevel="0" collapsed="false">
      <c r="B1172" s="32" t="n">
        <v>1851003</v>
      </c>
      <c r="C1172" s="13" t="n">
        <v>-4.386638923025</v>
      </c>
      <c r="D1172" s="13" t="n">
        <v>0.513939243640457</v>
      </c>
    </row>
    <row r="1173" customFormat="false" ht="15" hidden="false" customHeight="false" outlineLevel="0" collapsed="false">
      <c r="B1173" s="32" t="n">
        <v>1851112</v>
      </c>
      <c r="C1173" s="13" t="n">
        <v>-2.81023479171261</v>
      </c>
      <c r="D1173" s="13" t="n">
        <v>0.11516410475846</v>
      </c>
    </row>
    <row r="1174" customFormat="false" ht="15" hidden="false" customHeight="false" outlineLevel="0" collapsed="false">
      <c r="B1174" s="32" t="n">
        <v>1852131</v>
      </c>
      <c r="C1174" s="13" t="n">
        <v>-2.25079344439139</v>
      </c>
      <c r="D1174" s="13" t="n">
        <v>1.45464656213399</v>
      </c>
    </row>
    <row r="1175" customFormat="false" ht="15" hidden="false" customHeight="false" outlineLevel="0" collapsed="false">
      <c r="B1175" s="32" t="n">
        <v>1853145</v>
      </c>
      <c r="C1175" s="13" t="n">
        <v>-3.00043089193854</v>
      </c>
      <c r="D1175" s="13" t="n">
        <v>0.592487478817656</v>
      </c>
    </row>
    <row r="1176" customFormat="false" ht="15" hidden="false" customHeight="false" outlineLevel="0" collapsed="false">
      <c r="B1176" s="32" t="n">
        <v>1853513</v>
      </c>
      <c r="C1176" s="13" t="n">
        <v>-2.14095728096252</v>
      </c>
      <c r="D1176" s="13" t="n">
        <v>0.469636041882307</v>
      </c>
    </row>
    <row r="1177" customFormat="false" ht="15" hidden="false" customHeight="false" outlineLevel="0" collapsed="false">
      <c r="B1177" s="32" t="n">
        <v>1853717</v>
      </c>
      <c r="C1177" s="13" t="n">
        <v>-3.09770718577762</v>
      </c>
      <c r="D1177" s="13" t="n">
        <v>0.279168178771954</v>
      </c>
    </row>
    <row r="1178" customFormat="false" ht="15" hidden="false" customHeight="false" outlineLevel="0" collapsed="false">
      <c r="B1178" s="32" t="n">
        <v>1854545</v>
      </c>
      <c r="C1178" s="13" t="n">
        <v>-2.62095523971226</v>
      </c>
      <c r="D1178" s="13" t="n">
        <v>0.477831343159156</v>
      </c>
    </row>
    <row r="1179" customFormat="false" ht="15" hidden="false" customHeight="false" outlineLevel="0" collapsed="false">
      <c r="B1179" s="32" t="n">
        <v>1854587</v>
      </c>
      <c r="C1179" s="13" t="n">
        <v>-4.16119171837726</v>
      </c>
      <c r="D1179" s="13" t="n">
        <v>0.44143477198641</v>
      </c>
    </row>
    <row r="1180" customFormat="false" ht="15" hidden="false" customHeight="false" outlineLevel="0" collapsed="false">
      <c r="B1180" s="32" t="n">
        <v>1855447</v>
      </c>
      <c r="C1180" s="13" t="n">
        <v>2.54047336184501</v>
      </c>
      <c r="D1180" s="13" t="n">
        <v>1.24001278049389</v>
      </c>
    </row>
    <row r="1181" customFormat="false" ht="15" hidden="false" customHeight="false" outlineLevel="0" collapsed="false">
      <c r="B1181" s="32" t="n">
        <v>1855457</v>
      </c>
      <c r="C1181" s="13" t="n">
        <v>-3.59582637597067</v>
      </c>
      <c r="D1181" s="13" t="n">
        <v>1.71917320823018</v>
      </c>
    </row>
    <row r="1182" customFormat="false" ht="15" hidden="false" customHeight="false" outlineLevel="0" collapsed="false">
      <c r="B1182" s="32" t="n">
        <v>1856314</v>
      </c>
      <c r="C1182" s="13" t="n">
        <v>-3.70526050878939</v>
      </c>
      <c r="D1182" s="13" t="n">
        <v>0.466699381560465</v>
      </c>
    </row>
    <row r="1183" customFormat="false" ht="15" hidden="false" customHeight="false" outlineLevel="0" collapsed="false">
      <c r="B1183" s="32" t="n">
        <v>1856437</v>
      </c>
      <c r="C1183" s="13" t="n">
        <v>-2.69476327210141</v>
      </c>
      <c r="D1183" s="13" t="n">
        <v>0.482457252361384</v>
      </c>
    </row>
    <row r="1184" customFormat="false" ht="15" hidden="false" customHeight="false" outlineLevel="0" collapsed="false">
      <c r="B1184" s="32" t="n">
        <v>1856525</v>
      </c>
      <c r="C1184" s="13" t="n">
        <v>-2.91739631981404</v>
      </c>
      <c r="D1184" s="13" t="n">
        <v>0.595627235609337</v>
      </c>
    </row>
    <row r="1185" customFormat="false" ht="15" hidden="false" customHeight="false" outlineLevel="0" collapsed="false">
      <c r="B1185" s="32" t="n">
        <v>1856608</v>
      </c>
      <c r="C1185" s="13" t="n">
        <v>-2.77656459548387</v>
      </c>
      <c r="D1185" s="13" t="n">
        <v>0.435920522032637</v>
      </c>
    </row>
    <row r="1186" customFormat="false" ht="15" hidden="false" customHeight="false" outlineLevel="0" collapsed="false">
      <c r="B1186" s="32" t="n">
        <v>1857816</v>
      </c>
      <c r="C1186" s="13" t="n">
        <v>-1.86131311918723</v>
      </c>
      <c r="D1186" s="13" t="n">
        <v>0.605063012433207</v>
      </c>
    </row>
    <row r="1187" customFormat="false" ht="15" hidden="false" customHeight="false" outlineLevel="0" collapsed="false">
      <c r="B1187" s="32" t="n">
        <v>1857853</v>
      </c>
      <c r="C1187" s="13" t="n">
        <v>-2.87297842042809</v>
      </c>
      <c r="D1187" s="13" t="n">
        <v>0.442338645309795</v>
      </c>
    </row>
    <row r="1188" customFormat="false" ht="15" hidden="false" customHeight="false" outlineLevel="0" collapsed="false">
      <c r="B1188" s="32" t="n">
        <v>1858257</v>
      </c>
      <c r="C1188" s="13" t="n">
        <v>-2.51642065247802</v>
      </c>
      <c r="D1188" s="13" t="n">
        <v>1.35826216941533</v>
      </c>
    </row>
    <row r="1189" customFormat="false" ht="15" hidden="false" customHeight="false" outlineLevel="0" collapsed="false">
      <c r="B1189" s="32" t="n">
        <v>1859285</v>
      </c>
      <c r="C1189" s="13" t="n">
        <v>-2.95477959690772</v>
      </c>
      <c r="D1189" s="13" t="n">
        <v>0.630311399295589</v>
      </c>
    </row>
    <row r="1190" customFormat="false" ht="15" hidden="false" customHeight="false" outlineLevel="0" collapsed="false">
      <c r="B1190" s="32" t="n">
        <v>1861737</v>
      </c>
      <c r="C1190" s="13" t="n">
        <v>-2.58733902017711</v>
      </c>
      <c r="D1190" s="13" t="n">
        <v>0.893552479527079</v>
      </c>
    </row>
    <row r="1191" customFormat="false" ht="15" hidden="false" customHeight="false" outlineLevel="0" collapsed="false">
      <c r="B1191" s="32" t="n">
        <v>1861795</v>
      </c>
      <c r="C1191" s="13" t="n">
        <v>-3.16001316923516</v>
      </c>
      <c r="D1191" s="13" t="n">
        <v>0.643097680435804</v>
      </c>
    </row>
    <row r="1192" customFormat="false" ht="15" hidden="false" customHeight="false" outlineLevel="0" collapsed="false">
      <c r="B1192" s="32" t="n">
        <v>1863006</v>
      </c>
      <c r="C1192" s="13" t="n">
        <v>-2.50636167436828</v>
      </c>
      <c r="D1192" s="13" t="n">
        <v>0.546858649477897</v>
      </c>
    </row>
    <row r="1193" customFormat="false" ht="15" hidden="false" customHeight="false" outlineLevel="0" collapsed="false">
      <c r="B1193" s="32" t="n">
        <v>1863218</v>
      </c>
      <c r="C1193" s="13" t="n">
        <v>-2.4500578527555</v>
      </c>
      <c r="D1193" s="13" t="n">
        <v>0.475261826285624</v>
      </c>
    </row>
    <row r="1194" customFormat="false" ht="15" hidden="false" customHeight="false" outlineLevel="0" collapsed="false">
      <c r="B1194" s="32" t="n">
        <v>1864943</v>
      </c>
      <c r="C1194" s="13" t="n">
        <v>-2.40923675996562</v>
      </c>
      <c r="D1194" s="13" t="n">
        <v>0.567086472484393</v>
      </c>
    </row>
    <row r="1195" customFormat="false" ht="15" hidden="false" customHeight="false" outlineLevel="0" collapsed="false">
      <c r="B1195" s="32" t="n">
        <v>1865107</v>
      </c>
      <c r="C1195" s="13" t="n">
        <v>-3.73379745549542</v>
      </c>
      <c r="D1195" s="13" t="n">
        <v>0.411244297473624</v>
      </c>
    </row>
    <row r="1196" customFormat="false" ht="15" hidden="false" customHeight="false" outlineLevel="0" collapsed="false">
      <c r="B1196" s="32" t="n">
        <v>1866368</v>
      </c>
      <c r="C1196" s="13" t="n">
        <v>-3.19699275977033</v>
      </c>
      <c r="D1196" s="13" t="n">
        <v>0.428494107606896</v>
      </c>
    </row>
    <row r="1197" customFormat="false" ht="15" hidden="false" customHeight="false" outlineLevel="0" collapsed="false">
      <c r="B1197" s="32" t="n">
        <v>1866550</v>
      </c>
      <c r="C1197" s="13" t="n">
        <v>-3.06566884002596</v>
      </c>
      <c r="D1197" s="13" t="n">
        <v>0.578359662459103</v>
      </c>
    </row>
    <row r="1198" customFormat="false" ht="15" hidden="false" customHeight="false" outlineLevel="0" collapsed="false">
      <c r="B1198" s="32" t="n">
        <v>1866581</v>
      </c>
      <c r="C1198" s="13" t="n">
        <v>-2.83419367192099</v>
      </c>
      <c r="D1198" s="13" t="n">
        <v>0.423392500123086</v>
      </c>
    </row>
    <row r="1199" customFormat="false" ht="15" hidden="false" customHeight="false" outlineLevel="0" collapsed="false">
      <c r="B1199" s="32" t="n">
        <v>1866633</v>
      </c>
      <c r="C1199" s="13" t="n">
        <v>-2.74105816183711</v>
      </c>
      <c r="D1199" s="13" t="n">
        <v>0.47951510201353</v>
      </c>
    </row>
    <row r="1200" customFormat="false" ht="15" hidden="false" customHeight="false" outlineLevel="0" collapsed="false">
      <c r="B1200" s="32" t="n">
        <v>1866692</v>
      </c>
      <c r="C1200" s="13" t="n">
        <v>-3.82759246984807</v>
      </c>
      <c r="D1200" s="13" t="n">
        <v>0.222706077364566</v>
      </c>
    </row>
    <row r="1201" customFormat="false" ht="15" hidden="false" customHeight="false" outlineLevel="0" collapsed="false">
      <c r="B1201" s="32" t="n">
        <v>1867096</v>
      </c>
      <c r="C1201" s="13" t="n">
        <v>-3.32859324556101</v>
      </c>
      <c r="D1201" s="13" t="n">
        <v>0.526354982458289</v>
      </c>
    </row>
    <row r="1202" customFormat="false" ht="15" hidden="false" customHeight="false" outlineLevel="0" collapsed="false">
      <c r="B1202" s="32" t="n">
        <v>1868275</v>
      </c>
      <c r="C1202" s="13" t="n">
        <v>-2.04527995446623</v>
      </c>
      <c r="D1202" s="13" t="n">
        <v>0.803709519195541</v>
      </c>
    </row>
    <row r="1203" customFormat="false" ht="15" hidden="false" customHeight="false" outlineLevel="0" collapsed="false">
      <c r="B1203" s="32" t="n">
        <v>1868395</v>
      </c>
      <c r="C1203" s="13" t="n">
        <v>-2.74958360941184</v>
      </c>
      <c r="D1203" s="13" t="n">
        <v>0.354003178124443</v>
      </c>
    </row>
    <row r="1204" customFormat="false" ht="15" hidden="false" customHeight="false" outlineLevel="0" collapsed="false">
      <c r="B1204" s="32" t="n">
        <v>1868726</v>
      </c>
      <c r="C1204" s="13" t="n">
        <v>-3.0026905213611</v>
      </c>
      <c r="D1204" s="13" t="n">
        <v>0.416115378906105</v>
      </c>
    </row>
    <row r="1205" customFormat="false" ht="15" hidden="false" customHeight="false" outlineLevel="0" collapsed="false">
      <c r="B1205" s="32" t="n">
        <v>1868778</v>
      </c>
      <c r="C1205" s="13" t="n">
        <v>-2.76671880706211</v>
      </c>
      <c r="D1205" s="13" t="n">
        <v>1.49881352005404</v>
      </c>
    </row>
    <row r="1206" customFormat="false" ht="15" hidden="false" customHeight="false" outlineLevel="0" collapsed="false">
      <c r="B1206" s="32" t="n">
        <v>1868912</v>
      </c>
      <c r="C1206" s="13" t="n">
        <v>-2.9059231585528</v>
      </c>
      <c r="D1206" s="13" t="n">
        <v>0.749882989001479</v>
      </c>
    </row>
    <row r="1207" customFormat="false" ht="15" hidden="false" customHeight="false" outlineLevel="0" collapsed="false">
      <c r="B1207" s="32" t="n">
        <v>1868941</v>
      </c>
      <c r="C1207" s="13" t="n">
        <v>-2.61121073680365</v>
      </c>
      <c r="D1207" s="13" t="n">
        <v>0.388997306622335</v>
      </c>
    </row>
    <row r="1208" customFormat="false" ht="15" hidden="false" customHeight="false" outlineLevel="0" collapsed="false">
      <c r="B1208" s="32" t="n">
        <v>1869198</v>
      </c>
      <c r="C1208" s="13" t="n">
        <v>-2.08717950496365</v>
      </c>
      <c r="D1208" s="13" t="n">
        <v>0.312391333932506</v>
      </c>
    </row>
    <row r="1209" customFormat="false" ht="15" hidden="false" customHeight="false" outlineLevel="0" collapsed="false">
      <c r="B1209" s="32" t="n">
        <v>1874944</v>
      </c>
      <c r="C1209" s="13" t="n">
        <v>-6.26085522031616</v>
      </c>
      <c r="D1209" s="13" t="n">
        <v>0.430125703972435</v>
      </c>
    </row>
    <row r="1210" customFormat="false" ht="15" hidden="false" customHeight="false" outlineLevel="0" collapsed="false">
      <c r="B1210" s="32" t="n">
        <v>1875444</v>
      </c>
      <c r="C1210" s="13" t="n">
        <v>-2.24145404645956</v>
      </c>
      <c r="D1210" s="13" t="n">
        <v>0.352082275117545</v>
      </c>
    </row>
    <row r="1211" customFormat="false" ht="15" hidden="false" customHeight="false" outlineLevel="0" collapsed="false">
      <c r="B1211" s="32" t="n">
        <v>1876945</v>
      </c>
      <c r="C1211" s="13" t="n">
        <v>-3.13178985542397</v>
      </c>
      <c r="D1211" s="13" t="n">
        <v>0.553137401368209</v>
      </c>
    </row>
    <row r="1212" customFormat="false" ht="15" hidden="false" customHeight="false" outlineLevel="0" collapsed="false">
      <c r="B1212" s="32" t="n">
        <v>1877322</v>
      </c>
      <c r="C1212" s="13" t="n">
        <v>-2.61531573691306</v>
      </c>
      <c r="D1212" s="13" t="n">
        <v>0.6335668881089</v>
      </c>
    </row>
    <row r="1213" customFormat="false" ht="15" hidden="false" customHeight="false" outlineLevel="0" collapsed="false">
      <c r="B1213" s="32" t="n">
        <v>1878897</v>
      </c>
      <c r="C1213" s="13" t="n">
        <v>-2.61863092013384</v>
      </c>
      <c r="D1213" s="13" t="n">
        <v>0.40271077726809</v>
      </c>
    </row>
    <row r="1214" customFormat="false" ht="15" hidden="false" customHeight="false" outlineLevel="0" collapsed="false">
      <c r="B1214" s="32" t="n">
        <v>1880319</v>
      </c>
      <c r="C1214" s="13" t="n">
        <v>-1.86326573860158</v>
      </c>
      <c r="D1214" s="13" t="n">
        <v>0.695879463814489</v>
      </c>
    </row>
    <row r="1215" customFormat="false" ht="15" hidden="false" customHeight="false" outlineLevel="0" collapsed="false">
      <c r="B1215" s="32" t="n">
        <v>1880613</v>
      </c>
      <c r="C1215" s="13" t="n">
        <v>-2.35148786281289</v>
      </c>
      <c r="D1215" s="13" t="n">
        <v>1.01572275488955</v>
      </c>
    </row>
    <row r="1216" customFormat="false" ht="15" hidden="false" customHeight="false" outlineLevel="0" collapsed="false">
      <c r="B1216" s="32" t="n">
        <v>1881487</v>
      </c>
      <c r="C1216" s="13" t="n">
        <v>-5.01051398204265</v>
      </c>
      <c r="D1216" s="13" t="n">
        <v>0.519552356137164</v>
      </c>
    </row>
    <row r="1217" customFormat="false" ht="15" hidden="false" customHeight="false" outlineLevel="0" collapsed="false">
      <c r="B1217" s="32" t="n">
        <v>1883685</v>
      </c>
      <c r="C1217" s="13" t="n">
        <v>-3.41572984593633</v>
      </c>
      <c r="D1217" s="13" t="n">
        <v>0.341732513515743</v>
      </c>
    </row>
    <row r="1218" customFormat="false" ht="15" hidden="false" customHeight="false" outlineLevel="0" collapsed="false">
      <c r="B1218" s="32" t="n">
        <v>1884516</v>
      </c>
      <c r="C1218" s="13" t="n">
        <v>-2.6514686036073</v>
      </c>
      <c r="D1218" s="13" t="n">
        <v>0.328866697066319</v>
      </c>
    </row>
    <row r="1219" customFormat="false" ht="15" hidden="false" customHeight="false" outlineLevel="0" collapsed="false">
      <c r="B1219" s="32" t="n">
        <v>1887944</v>
      </c>
      <c r="C1219" s="13" t="n">
        <v>-1.66538410430357</v>
      </c>
      <c r="D1219" s="13" t="n">
        <v>0.460560313320029</v>
      </c>
    </row>
    <row r="1220" customFormat="false" ht="15" hidden="false" customHeight="false" outlineLevel="0" collapsed="false">
      <c r="B1220" s="32" t="n">
        <v>1888447</v>
      </c>
      <c r="C1220" s="13" t="n">
        <v>-1.75461938533252</v>
      </c>
      <c r="D1220" s="13" t="n">
        <v>0.152793082349646</v>
      </c>
    </row>
    <row r="1221" customFormat="false" ht="15" hidden="false" customHeight="false" outlineLevel="0" collapsed="false">
      <c r="B1221" s="32" t="n">
        <v>1892492</v>
      </c>
      <c r="C1221" s="13" t="n">
        <v>-7.92131692897287</v>
      </c>
      <c r="D1221" s="13" t="n">
        <v>1.62928115347674</v>
      </c>
    </row>
    <row r="1222" customFormat="false" ht="15" hidden="false" customHeight="false" outlineLevel="0" collapsed="false">
      <c r="B1222" s="32" t="n">
        <v>1902733</v>
      </c>
      <c r="C1222" s="13" t="n">
        <v>-2.7688638184284</v>
      </c>
      <c r="D1222" s="13" t="n">
        <v>0.558324184548742</v>
      </c>
    </row>
    <row r="1223" customFormat="false" ht="15" hidden="false" customHeight="false" outlineLevel="0" collapsed="false">
      <c r="B1223" s="32" t="n">
        <v>1903870</v>
      </c>
      <c r="C1223" s="13" t="n">
        <v>-2.90780366591818</v>
      </c>
      <c r="D1223" s="13" t="n">
        <v>0.310285747464656</v>
      </c>
    </row>
    <row r="1224" customFormat="false" ht="15" hidden="false" customHeight="false" outlineLevel="0" collapsed="false">
      <c r="B1224" s="32" t="n">
        <v>1906324</v>
      </c>
      <c r="C1224" s="13" t="n">
        <v>-3.00039460672811</v>
      </c>
      <c r="D1224" s="13" t="n">
        <v>1.5267268034824</v>
      </c>
    </row>
    <row r="1225" customFormat="false" ht="15" hidden="false" customHeight="false" outlineLevel="0" collapsed="false">
      <c r="B1225" s="32" t="n">
        <v>1907085</v>
      </c>
      <c r="C1225" s="13" t="n">
        <v>-2.19495486294322</v>
      </c>
      <c r="D1225" s="13" t="n">
        <v>0.97935696981367</v>
      </c>
    </row>
    <row r="1226" customFormat="false" ht="15" hidden="false" customHeight="false" outlineLevel="0" collapsed="false">
      <c r="B1226" s="32" t="n">
        <v>1909747</v>
      </c>
      <c r="C1226" s="13" t="n">
        <v>-3.55841863367676</v>
      </c>
      <c r="D1226" s="13" t="n">
        <v>0.244951708625294</v>
      </c>
    </row>
    <row r="1227" customFormat="false" ht="15" hidden="false" customHeight="false" outlineLevel="0" collapsed="false">
      <c r="B1227" s="32" t="n">
        <v>1910139</v>
      </c>
      <c r="C1227" s="13" t="n">
        <v>-2.404225595826</v>
      </c>
      <c r="D1227" s="13" t="n">
        <v>0.621814354996159</v>
      </c>
    </row>
    <row r="1228" customFormat="false" ht="15" hidden="false" customHeight="false" outlineLevel="0" collapsed="false">
      <c r="B1228" s="32" t="n">
        <v>1914805</v>
      </c>
      <c r="C1228" s="13" t="n">
        <v>-1.37707839500143</v>
      </c>
      <c r="D1228" s="13" t="n">
        <v>1.10908922894768</v>
      </c>
    </row>
    <row r="1229" customFormat="false" ht="15" hidden="false" customHeight="false" outlineLevel="0" collapsed="false">
      <c r="B1229" s="32" t="n">
        <v>1921158</v>
      </c>
      <c r="C1229" s="13" t="n">
        <v>3.75327218266062</v>
      </c>
      <c r="D1229" s="13" t="n">
        <v>0.281431154969416</v>
      </c>
    </row>
    <row r="1230" customFormat="false" ht="15" hidden="false" customHeight="false" outlineLevel="0" collapsed="false">
      <c r="B1230" s="32" t="n">
        <v>1937653</v>
      </c>
      <c r="C1230" s="13" t="n">
        <v>-0.696870240475283</v>
      </c>
      <c r="D1230" s="13" t="n">
        <v>1.81120383077932</v>
      </c>
    </row>
    <row r="1231" customFormat="false" ht="15" hidden="false" customHeight="false" outlineLevel="0" collapsed="false">
      <c r="B1231" s="32" t="n">
        <v>1941365</v>
      </c>
      <c r="C1231" s="13" t="n">
        <v>-3.20609513227169</v>
      </c>
      <c r="D1231" s="13" t="n">
        <v>0.431465018840003</v>
      </c>
    </row>
    <row r="1232" customFormat="false" ht="15" hidden="false" customHeight="false" outlineLevel="0" collapsed="false">
      <c r="B1232" s="32" t="n">
        <v>1944048</v>
      </c>
      <c r="C1232" s="13" t="n">
        <v>-2.88236369764475</v>
      </c>
      <c r="D1232" s="13" t="n">
        <v>0.433730588440588</v>
      </c>
    </row>
    <row r="1233" customFormat="false" ht="15" hidden="false" customHeight="false" outlineLevel="0" collapsed="false">
      <c r="B1233" s="32" t="n">
        <v>1957132</v>
      </c>
      <c r="C1233" s="13" t="n">
        <v>-2.61660160876418</v>
      </c>
      <c r="D1233" s="13" t="n">
        <v>0.700578465194249</v>
      </c>
    </row>
    <row r="1234" customFormat="false" ht="15" hidden="false" customHeight="false" outlineLevel="0" collapsed="false">
      <c r="B1234" s="32" t="n">
        <v>1957489</v>
      </c>
      <c r="C1234" s="13" t="n">
        <v>-3.147420774082</v>
      </c>
      <c r="D1234" s="13" t="n">
        <v>0.307847470760255</v>
      </c>
    </row>
    <row r="1235" customFormat="false" ht="15" hidden="false" customHeight="false" outlineLevel="0" collapsed="false">
      <c r="B1235" s="32" t="n">
        <v>1958140</v>
      </c>
      <c r="C1235" s="13" t="n">
        <v>-2.74695082111898</v>
      </c>
      <c r="D1235" s="13" t="n">
        <v>0.730193201673641</v>
      </c>
    </row>
    <row r="1236" customFormat="false" ht="15" hidden="false" customHeight="false" outlineLevel="0" collapsed="false">
      <c r="B1236" s="32" t="n">
        <v>1964979</v>
      </c>
      <c r="C1236" s="13" t="n">
        <v>-4.11456890737835</v>
      </c>
      <c r="D1236" s="13" t="n">
        <v>0.0633221458151815</v>
      </c>
    </row>
    <row r="1237" customFormat="false" ht="15" hidden="false" customHeight="false" outlineLevel="0" collapsed="false">
      <c r="B1237" s="32" t="n">
        <v>1973266</v>
      </c>
      <c r="C1237" s="13" t="n">
        <v>-2.07318446535344</v>
      </c>
      <c r="D1237" s="13" t="n">
        <v>3.35645999340749</v>
      </c>
    </row>
    <row r="1238" customFormat="false" ht="15" hidden="false" customHeight="false" outlineLevel="0" collapsed="false">
      <c r="B1238" s="32" t="n">
        <v>1974138</v>
      </c>
      <c r="C1238" s="13" t="n">
        <v>-2.88077275871822</v>
      </c>
      <c r="D1238" s="13" t="n">
        <v>0.395214303520101</v>
      </c>
    </row>
    <row r="1239" customFormat="false" ht="15" hidden="false" customHeight="false" outlineLevel="0" collapsed="false">
      <c r="B1239" s="32" t="n">
        <v>1977303</v>
      </c>
      <c r="C1239" s="13" t="n">
        <v>-2.84010916317296</v>
      </c>
      <c r="D1239" s="13" t="n">
        <v>0.202019211188148</v>
      </c>
    </row>
    <row r="1240" customFormat="false" ht="15" hidden="false" customHeight="false" outlineLevel="0" collapsed="false">
      <c r="B1240" s="32" t="n">
        <v>1993004</v>
      </c>
      <c r="C1240" s="13" t="n">
        <v>-2.79234623579031</v>
      </c>
      <c r="D1240" s="13" t="n">
        <v>0.42342964932006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6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2"/>
    <col collapsed="false" customWidth="true" hidden="false" outlineLevel="0" max="7" min="3" style="0" width="11"/>
    <col collapsed="false" customWidth="true" hidden="false" outlineLevel="0" max="8" min="8" style="0" width="4"/>
    <col collapsed="false" customWidth="true" hidden="false" outlineLevel="0" max="9" min="9" style="0" width="16"/>
    <col collapsed="false" customWidth="true" hidden="false" outlineLevel="0" max="10" min="10" style="0" width="70"/>
    <col collapsed="false" customWidth="true" hidden="false" outlineLevel="0" max="12" min="11" style="0" width="11"/>
    <col collapsed="false" customWidth="true" hidden="false" outlineLevel="0" max="13" min="13" style="0" width="12"/>
  </cols>
  <sheetData>
    <row r="2" customFormat="false" ht="17.35" hidden="false" customHeight="false" outlineLevel="0" collapsed="false">
      <c r="B2" s="1" t="s">
        <v>257</v>
      </c>
    </row>
    <row r="3" customFormat="false" ht="15" hidden="false" customHeight="false" outlineLevel="0" collapsed="false">
      <c r="B3" s="2" t="s">
        <v>258</v>
      </c>
    </row>
    <row r="5" customFormat="false" ht="15" hidden="false" customHeight="false" outlineLevel="0" collapsed="false">
      <c r="B5" s="11" t="s">
        <v>259</v>
      </c>
      <c r="C5" s="12" t="s">
        <v>198</v>
      </c>
      <c r="D5" s="12" t="s">
        <v>260</v>
      </c>
      <c r="E5" s="12" t="s">
        <v>261</v>
      </c>
      <c r="F5" s="12" t="s">
        <v>262</v>
      </c>
      <c r="G5" s="12" t="s">
        <v>263</v>
      </c>
    </row>
    <row r="6" customFormat="false" ht="15" hidden="false" customHeight="false" outlineLevel="0" collapsed="false">
      <c r="B6" s="24" t="n">
        <v>44929</v>
      </c>
      <c r="C6" s="38" t="n">
        <v>8.386</v>
      </c>
      <c r="D6" s="38" t="n">
        <v>264.48</v>
      </c>
      <c r="J6" s="6" t="s">
        <v>264</v>
      </c>
      <c r="K6" s="25" t="s">
        <v>265</v>
      </c>
    </row>
    <row r="7" customFormat="false" ht="15" hidden="false" customHeight="false" outlineLevel="0" collapsed="false">
      <c r="B7" s="24" t="n">
        <v>44930</v>
      </c>
      <c r="C7" s="38" t="n">
        <v>8.225</v>
      </c>
      <c r="D7" s="38" t="n">
        <v>265.74</v>
      </c>
      <c r="E7" s="23" t="n">
        <f aca="false">C7/C6-1</f>
        <v>-0.0191986644407345</v>
      </c>
      <c r="F7" s="23" t="n">
        <f aca="false">D7/D6-1</f>
        <v>0.00476406533575324</v>
      </c>
      <c r="G7" s="23" t="n">
        <f aca="false">E7-$K$7*F7</f>
        <v>-0.0335113928358829</v>
      </c>
      <c r="J7" s="6" t="s">
        <v>266</v>
      </c>
      <c r="K7" s="26" t="n">
        <f aca="false">SLOPE(E130:E401,F130:F401)</f>
        <v>3.0043098459911</v>
      </c>
    </row>
    <row r="8" customFormat="false" ht="15" hidden="false" customHeight="false" outlineLevel="0" collapsed="false">
      <c r="B8" s="24" t="n">
        <v>44931</v>
      </c>
      <c r="C8" s="38" t="n">
        <v>8.025</v>
      </c>
      <c r="D8" s="38" t="n">
        <v>261.58</v>
      </c>
      <c r="E8" s="23" t="n">
        <f aca="false">C8/C7-1</f>
        <v>-0.0243161094224923</v>
      </c>
      <c r="F8" s="23" t="n">
        <f aca="false">D8/D7-1</f>
        <v>-0.0156543990366524</v>
      </c>
      <c r="G8" s="23" t="n">
        <f aca="false">E8-$K$7*F8</f>
        <v>0.0227145557363963</v>
      </c>
    </row>
    <row r="9" customFormat="false" ht="15" hidden="false" customHeight="false" outlineLevel="0" collapsed="false">
      <c r="B9" s="24" t="n">
        <v>44932</v>
      </c>
      <c r="C9" s="38" t="n">
        <v>8.439</v>
      </c>
      <c r="D9" s="38" t="n">
        <v>268.8</v>
      </c>
      <c r="E9" s="23" t="n">
        <f aca="false">C9/C8-1</f>
        <v>0.0515887850467289</v>
      </c>
      <c r="F9" s="23" t="n">
        <f aca="false">D9/D8-1</f>
        <v>0.0276014985855189</v>
      </c>
      <c r="G9" s="23" t="n">
        <f aca="false">E9-$K$7*F9</f>
        <v>-0.0313346689178549</v>
      </c>
      <c r="I9" s="11" t="s">
        <v>259</v>
      </c>
      <c r="J9" s="12" t="s">
        <v>267</v>
      </c>
      <c r="K9" s="12" t="s">
        <v>268</v>
      </c>
      <c r="L9" s="12" t="s">
        <v>269</v>
      </c>
      <c r="M9" s="12" t="s">
        <v>263</v>
      </c>
    </row>
    <row r="10" customFormat="false" ht="25.5" hidden="false" customHeight="true" outlineLevel="0" collapsed="false">
      <c r="B10" s="24" t="n">
        <v>44935</v>
      </c>
      <c r="C10" s="38" t="n">
        <v>8.477</v>
      </c>
      <c r="D10" s="38" t="n">
        <v>270.54</v>
      </c>
      <c r="E10" s="23" t="n">
        <f aca="false">C10/C9-1</f>
        <v>0.0045029031875814</v>
      </c>
      <c r="F10" s="23" t="n">
        <f aca="false">D10/D9-1</f>
        <v>0.00647321428571424</v>
      </c>
      <c r="G10" s="23" t="n">
        <f aca="false">E10-$K$7*F10</f>
        <v>-0.0149446382262002</v>
      </c>
      <c r="I10" s="24" t="n">
        <v>45364</v>
      </c>
      <c r="J10" s="4" t="s">
        <v>270</v>
      </c>
      <c r="K10" s="39" t="n">
        <f aca="false">INDEX($C$6:$C$629,MATCH(I10,$B$6:$B$629,0))</f>
        <v>118.807</v>
      </c>
      <c r="L10" s="27" t="n">
        <f aca="false">INDEX($E$6:$E$629,MATCH(I10,$B$6:$B$629,0))</f>
        <v>0.0215563198624249</v>
      </c>
      <c r="M10" s="27" t="n">
        <f aca="false">INDEX($G$6:$G$629,MATCH(I10,$B$6:$B$629,0))</f>
        <v>0.0446476433417327</v>
      </c>
    </row>
    <row r="11" customFormat="false" ht="25.5" hidden="false" customHeight="true" outlineLevel="0" collapsed="false">
      <c r="B11" s="24" t="n">
        <v>44936</v>
      </c>
      <c r="C11" s="38" t="n">
        <v>7.837</v>
      </c>
      <c r="D11" s="38" t="n">
        <v>272.83</v>
      </c>
      <c r="E11" s="23" t="n">
        <f aca="false">C11/C10-1</f>
        <v>-0.0754984074554677</v>
      </c>
      <c r="F11" s="23" t="n">
        <f aca="false">D11/D10-1</f>
        <v>0.00846455237672794</v>
      </c>
      <c r="G11" s="23" t="n">
        <f aca="false">E11-$K$7*F11</f>
        <v>-0.100928545502779</v>
      </c>
      <c r="I11" s="24" t="n">
        <v>45418</v>
      </c>
      <c r="J11" s="4" t="s">
        <v>271</v>
      </c>
      <c r="K11" s="39" t="n">
        <f aca="false">INDEX($C$6:$C$629,MATCH(I11,$B$6:$B$629,0))</f>
        <v>83.035</v>
      </c>
      <c r="L11" s="27" t="n">
        <f aca="false">INDEX($E$6:$E$629,MATCH(I11,$B$6:$B$629,0))</f>
        <v>0.0608790085601123</v>
      </c>
      <c r="M11" s="27" t="n">
        <f aca="false">INDEX($G$6:$G$629,MATCH(I11,$B$6:$B$629,0))</f>
        <v>0.0279715088692482</v>
      </c>
    </row>
    <row r="12" customFormat="false" ht="25.5" hidden="false" customHeight="true" outlineLevel="0" collapsed="false">
      <c r="B12" s="24" t="n">
        <v>44937</v>
      </c>
      <c r="C12" s="38" t="n">
        <v>7.561</v>
      </c>
      <c r="D12" s="38" t="n">
        <v>277.55</v>
      </c>
      <c r="E12" s="23" t="n">
        <f aca="false">C12/C11-1</f>
        <v>-0.0352175577389308</v>
      </c>
      <c r="F12" s="23" t="n">
        <f aca="false">D12/D11-1</f>
        <v>0.0173001502767292</v>
      </c>
      <c r="G12" s="23" t="n">
        <f aca="false">E12-$K$7*F12</f>
        <v>-0.0871925695524339</v>
      </c>
      <c r="I12" s="24" t="n">
        <v>45511</v>
      </c>
      <c r="J12" s="4" t="s">
        <v>272</v>
      </c>
      <c r="K12" s="39" t="n">
        <f aca="false">INDEX($C$6:$C$629,MATCH(I12,$B$6:$B$629,0))</f>
        <v>49.27</v>
      </c>
      <c r="L12" s="27" t="n">
        <f aca="false">INDEX($E$6:$E$629,MATCH(I12,$B$6:$B$629,0))</f>
        <v>-0.201381009498493</v>
      </c>
      <c r="M12" s="27" t="n">
        <f aca="false">INDEX($G$6:$G$629,MATCH(I12,$B$6:$B$629,0))</f>
        <v>-0.168845085063488</v>
      </c>
    </row>
    <row r="13" customFormat="false" ht="25.5" hidden="false" customHeight="true" outlineLevel="0" collapsed="false">
      <c r="B13" s="24" t="n">
        <v>44938</v>
      </c>
      <c r="C13" s="38" t="n">
        <v>8.045</v>
      </c>
      <c r="D13" s="38" t="n">
        <v>279.05</v>
      </c>
      <c r="E13" s="23" t="n">
        <f aca="false">C13/C12-1</f>
        <v>0.0640126967332364</v>
      </c>
      <c r="F13" s="23" t="n">
        <f aca="false">D13/D12-1</f>
        <v>0.00540443163393989</v>
      </c>
      <c r="G13" s="23" t="n">
        <f aca="false">E13-$K$7*F13</f>
        <v>0.047776109563405</v>
      </c>
      <c r="I13" s="24" t="n">
        <v>45531</v>
      </c>
      <c r="J13" s="4" t="s">
        <v>273</v>
      </c>
      <c r="K13" s="39" t="n">
        <f aca="false">INDEX($C$6:$C$629,MATCH(I13,$B$6:$B$629,0))</f>
        <v>54.764</v>
      </c>
      <c r="L13" s="27" t="n">
        <f aca="false">INDEX($E$6:$E$629,MATCH(I13,$B$6:$B$629,0))</f>
        <v>-0.0264350855984782</v>
      </c>
      <c r="M13" s="27" t="n">
        <f aca="false">INDEX($G$6:$G$629,MATCH(I13,$B$6:$B$629,0))</f>
        <v>-0.0354099666968652</v>
      </c>
    </row>
    <row r="14" customFormat="false" ht="25.5" hidden="false" customHeight="true" outlineLevel="0" collapsed="false">
      <c r="B14" s="24" t="n">
        <v>44939</v>
      </c>
      <c r="C14" s="38" t="n">
        <v>8.058</v>
      </c>
      <c r="D14" s="38" t="n">
        <v>280.97</v>
      </c>
      <c r="E14" s="23" t="n">
        <f aca="false">C14/C13-1</f>
        <v>0.00161591050341836</v>
      </c>
      <c r="F14" s="23" t="n">
        <f aca="false">D14/D13-1</f>
        <v>0.00688048736785518</v>
      </c>
      <c r="G14" s="23" t="n">
        <f aca="false">E14-$K$7*F14</f>
        <v>-0.0190552054410464</v>
      </c>
      <c r="I14" s="24" t="n">
        <v>45532</v>
      </c>
      <c r="J14" s="4" t="s">
        <v>274</v>
      </c>
      <c r="K14" s="39" t="n">
        <f aca="false">INDEX($C$6:$C$629,MATCH(I14,$B$6:$B$629,0))</f>
        <v>44.349</v>
      </c>
      <c r="L14" s="27" t="n">
        <f aca="false">INDEX($E$6:$E$629,MATCH(I14,$B$6:$B$629,0))</f>
        <v>-0.190179680081806</v>
      </c>
      <c r="M14" s="27" t="n">
        <f aca="false">INDEX($G$6:$G$629,MATCH(I14,$B$6:$B$629,0))</f>
        <v>-0.156088488986052</v>
      </c>
    </row>
    <row r="15" customFormat="false" ht="25.5" hidden="false" customHeight="true" outlineLevel="0" collapsed="false">
      <c r="B15" s="24" t="n">
        <v>44943</v>
      </c>
      <c r="C15" s="38" t="n">
        <v>8.483</v>
      </c>
      <c r="D15" s="38" t="n">
        <v>281.54</v>
      </c>
      <c r="E15" s="23" t="n">
        <f aca="false">C15/C14-1</f>
        <v>0.0527426160337554</v>
      </c>
      <c r="F15" s="23" t="n">
        <f aca="false">D15/D14-1</f>
        <v>0.00202868633661946</v>
      </c>
      <c r="G15" s="23" t="n">
        <f aca="false">E15-$K$7*F15</f>
        <v>0.046647813698222</v>
      </c>
      <c r="I15" s="24" t="n">
        <v>45561</v>
      </c>
      <c r="J15" s="4" t="s">
        <v>275</v>
      </c>
      <c r="K15" s="39" t="n">
        <f aca="false">INDEX($C$6:$C$629,MATCH(I15,$B$6:$B$629,0))</f>
        <v>40.24</v>
      </c>
      <c r="L15" s="27" t="n">
        <f aca="false">INDEX($E$6:$E$629,MATCH(I15,$B$6:$B$629,0))</f>
        <v>-0.121685037651424</v>
      </c>
      <c r="M15" s="27" t="n">
        <f aca="false">INDEX($G$6:$G$629,MATCH(I15,$B$6:$B$629,0))</f>
        <v>-0.144256629882843</v>
      </c>
    </row>
    <row r="16" customFormat="false" ht="25.5" hidden="false" customHeight="true" outlineLevel="0" collapsed="false">
      <c r="B16" s="24" t="n">
        <v>44944</v>
      </c>
      <c r="C16" s="38" t="n">
        <v>7.887</v>
      </c>
      <c r="D16" s="38" t="n">
        <v>277.88</v>
      </c>
      <c r="E16" s="23" t="n">
        <f aca="false">C16/C15-1</f>
        <v>-0.0702581633855949</v>
      </c>
      <c r="F16" s="23" t="n">
        <f aca="false">D16/D15-1</f>
        <v>-0.0129999289621369</v>
      </c>
      <c r="G16" s="23" t="n">
        <f aca="false">E16-$K$7*F16</f>
        <v>-0.0312023488074622</v>
      </c>
      <c r="I16" s="24" t="n">
        <v>45595</v>
      </c>
      <c r="J16" s="4" t="s">
        <v>276</v>
      </c>
      <c r="K16" s="39" t="n">
        <f aca="false">INDEX($C$6:$C$629,MATCH(I16,$B$6:$B$629,0))</f>
        <v>33.07</v>
      </c>
      <c r="L16" s="27" t="n">
        <f aca="false">INDEX($E$6:$E$629,MATCH(I16,$B$6:$B$629,0))</f>
        <v>-0.326750814332248</v>
      </c>
      <c r="M16" s="27" t="n">
        <f aca="false">INDEX($G$6:$G$629,MATCH(I16,$B$6:$B$629,0))</f>
        <v>-0.30404549759791</v>
      </c>
    </row>
    <row r="17" customFormat="false" ht="25.5" hidden="false" customHeight="true" outlineLevel="0" collapsed="false">
      <c r="B17" s="24" t="n">
        <v>44945</v>
      </c>
      <c r="C17" s="38" t="n">
        <v>7.086</v>
      </c>
      <c r="D17" s="38" t="n">
        <v>275.15</v>
      </c>
      <c r="E17" s="23" t="n">
        <f aca="false">C17/C16-1</f>
        <v>-0.101559528337771</v>
      </c>
      <c r="F17" s="23" t="n">
        <f aca="false">D17/D16-1</f>
        <v>-0.00982438462645752</v>
      </c>
      <c r="G17" s="23" t="n">
        <f aca="false">E17-$K$7*F17</f>
        <v>-0.072044032873701</v>
      </c>
      <c r="I17" s="24" t="n">
        <v>45615</v>
      </c>
      <c r="J17" s="4" t="s">
        <v>277</v>
      </c>
      <c r="K17" s="39" t="n">
        <f aca="false">INDEX($C$6:$C$629,MATCH(I17,$B$6:$B$629,0))</f>
        <v>28.27</v>
      </c>
      <c r="L17" s="27" t="n">
        <f aca="false">INDEX($E$6:$E$629,MATCH(I17,$B$6:$B$629,0))</f>
        <v>0.312441968430826</v>
      </c>
      <c r="M17" s="27" t="n">
        <f aca="false">INDEX($G$6:$G$629,MATCH(I17,$B$6:$B$629,0))</f>
        <v>0.291773143443407</v>
      </c>
    </row>
    <row r="18" customFormat="false" ht="25.5" hidden="false" customHeight="true" outlineLevel="0" collapsed="false">
      <c r="B18" s="24" t="n">
        <v>44946</v>
      </c>
      <c r="C18" s="38" t="n">
        <v>7.198</v>
      </c>
      <c r="D18" s="38" t="n">
        <v>282.68</v>
      </c>
      <c r="E18" s="23" t="n">
        <f aca="false">C18/C17-1</f>
        <v>0.0158058142816822</v>
      </c>
      <c r="F18" s="23" t="n">
        <f aca="false">D18/D17-1</f>
        <v>0.0273668907868436</v>
      </c>
      <c r="G18" s="23" t="n">
        <f aca="false">E18-$K$7*F18</f>
        <v>-0.0664128051633954</v>
      </c>
      <c r="I18" s="24" t="n">
        <v>45628</v>
      </c>
      <c r="J18" s="4" t="s">
        <v>278</v>
      </c>
      <c r="K18" s="39" t="n">
        <f aca="false">INDEX($C$6:$C$629,MATCH(I18,$B$6:$B$629,0))</f>
        <v>42</v>
      </c>
      <c r="L18" s="27" t="n">
        <f aca="false">INDEX($E$6:$E$629,MATCH(I18,$B$6:$B$629,0))</f>
        <v>0.286764705882353</v>
      </c>
      <c r="M18" s="27" t="n">
        <f aca="false">INDEX($G$6:$G$629,MATCH(I18,$B$6:$B$629,0))</f>
        <v>0.254054069783066</v>
      </c>
    </row>
    <row r="19" customFormat="false" ht="25.5" hidden="false" customHeight="true" outlineLevel="0" collapsed="false">
      <c r="B19" s="24" t="n">
        <v>44949</v>
      </c>
      <c r="C19" s="38" t="n">
        <v>7.375</v>
      </c>
      <c r="D19" s="38" t="n">
        <v>288.96</v>
      </c>
      <c r="E19" s="23" t="n">
        <f aca="false">C19/C18-1</f>
        <v>0.0245901639344261</v>
      </c>
      <c r="F19" s="23" t="n">
        <f aca="false">D19/D18-1</f>
        <v>0.0222159332106975</v>
      </c>
      <c r="G19" s="23" t="n">
        <f aca="false">E19-$K$7*F19</f>
        <v>-0.0421533829483531</v>
      </c>
      <c r="I19" s="24" t="n">
        <v>45714</v>
      </c>
      <c r="J19" s="4" t="s">
        <v>279</v>
      </c>
      <c r="K19" s="39" t="n">
        <f aca="false">INDEX($C$6:$C$629,MATCH(I19,$B$6:$B$629,0))</f>
        <v>51.11</v>
      </c>
      <c r="L19" s="27" t="n">
        <f aca="false">INDEX($E$6:$E$629,MATCH(I19,$B$6:$B$629,0))</f>
        <v>0.122310057092666</v>
      </c>
      <c r="M19" s="27" t="n">
        <f aca="false">INDEX($G$6:$G$629,MATCH(I19,$B$6:$B$629,0))</f>
        <v>0.11505270454644</v>
      </c>
    </row>
    <row r="20" customFormat="false" ht="25.5" hidden="false" customHeight="true" outlineLevel="0" collapsed="false">
      <c r="B20" s="24" t="n">
        <v>44950</v>
      </c>
      <c r="C20" s="38" t="n">
        <v>7.825</v>
      </c>
      <c r="D20" s="38" t="n">
        <v>288.37</v>
      </c>
      <c r="E20" s="23" t="n">
        <f aca="false">C20/C19-1</f>
        <v>0.0610169491525423</v>
      </c>
      <c r="F20" s="23" t="n">
        <f aca="false">D20/D19-1</f>
        <v>-0.00204180509413054</v>
      </c>
      <c r="G20" s="23" t="n">
        <f aca="false">E20-$K$7*F20</f>
        <v>0.0671511643004335</v>
      </c>
      <c r="I20" s="24" t="n">
        <v>45789</v>
      </c>
      <c r="J20" s="4" t="s">
        <v>280</v>
      </c>
      <c r="K20" s="39" t="n">
        <f aca="false">INDEX($C$6:$C$629,MATCH(I20,$B$6:$B$629,0))</f>
        <v>33.52</v>
      </c>
      <c r="L20" s="27" t="n">
        <f aca="false">INDEX($E$6:$E$629,MATCH(I20,$B$6:$B$629,0))</f>
        <v>0.0478274460768993</v>
      </c>
      <c r="M20" s="27" t="n">
        <f aca="false">INDEX($G$6:$G$629,MATCH(I20,$B$6:$B$629,0))</f>
        <v>-0.0745687662687435</v>
      </c>
    </row>
    <row r="21" customFormat="false" ht="15" hidden="false" customHeight="false" outlineLevel="0" collapsed="false">
      <c r="B21" s="24" t="n">
        <v>44951</v>
      </c>
      <c r="C21" s="38" t="n">
        <v>7.731</v>
      </c>
      <c r="D21" s="38" t="n">
        <v>287.73</v>
      </c>
      <c r="E21" s="23" t="n">
        <f aca="false">C21/C20-1</f>
        <v>-0.0120127795527157</v>
      </c>
      <c r="F21" s="23" t="n">
        <f aca="false">D21/D20-1</f>
        <v>-0.00221937094704716</v>
      </c>
      <c r="G21" s="23" t="n">
        <f aca="false">E21-$K$7*F21</f>
        <v>-0.00534510156459535</v>
      </c>
    </row>
    <row r="22" customFormat="false" ht="15" hidden="false" customHeight="false" outlineLevel="0" collapsed="false">
      <c r="B22" s="24" t="n">
        <v>44952</v>
      </c>
      <c r="C22" s="38" t="n">
        <v>7.627</v>
      </c>
      <c r="D22" s="38" t="n">
        <v>293.34</v>
      </c>
      <c r="E22" s="23" t="n">
        <f aca="false">C22/C21-1</f>
        <v>-0.0134523347561765</v>
      </c>
      <c r="F22" s="23" t="n">
        <f aca="false">D22/D21-1</f>
        <v>0.0194974455218433</v>
      </c>
      <c r="G22" s="23" t="n">
        <f aca="false">E22-$K$7*F22</f>
        <v>-0.0720287023091254</v>
      </c>
      <c r="J22" s="6" t="s">
        <v>281</v>
      </c>
      <c r="K22" s="39" t="n">
        <f aca="false">INDEX($C$6:$C$629,MATCH(DATE(2024,5,6),$B$6:$B$629,0))</f>
        <v>83.035</v>
      </c>
    </row>
    <row r="23" customFormat="false" ht="15" hidden="false" customHeight="false" outlineLevel="0" collapsed="false">
      <c r="B23" s="24" t="n">
        <v>44953</v>
      </c>
      <c r="C23" s="38" t="n">
        <v>7.43</v>
      </c>
      <c r="D23" s="38" t="n">
        <v>296.26</v>
      </c>
      <c r="E23" s="23" t="n">
        <f aca="false">C23/C22-1</f>
        <v>-0.025829290677855</v>
      </c>
      <c r="F23" s="23" t="n">
        <f aca="false">D23/D22-1</f>
        <v>0.00995431922001777</v>
      </c>
      <c r="G23" s="23" t="n">
        <f aca="false">E23-$K$7*F23</f>
        <v>-0.0557351499206929</v>
      </c>
      <c r="J23" s="6" t="s">
        <v>282</v>
      </c>
      <c r="K23" s="39" t="n">
        <f aca="false">INDEX($C$6:$C$629,MATCH(DATE(2024,11,14),$B$6:$B$629,0))</f>
        <v>18.01</v>
      </c>
    </row>
    <row r="24" customFormat="false" ht="15" hidden="false" customHeight="false" outlineLevel="0" collapsed="false">
      <c r="B24" s="24" t="n">
        <v>44956</v>
      </c>
      <c r="C24" s="38" t="n">
        <v>7.213</v>
      </c>
      <c r="D24" s="38" t="n">
        <v>290.27</v>
      </c>
      <c r="E24" s="23" t="n">
        <f aca="false">C24/C23-1</f>
        <v>-0.0292059219380889</v>
      </c>
      <c r="F24" s="23" t="n">
        <f aca="false">D24/D23-1</f>
        <v>-0.0202187267940323</v>
      </c>
      <c r="G24" s="23" t="n">
        <f aca="false">E24-$K$7*F24</f>
        <v>0.0315373980426263</v>
      </c>
      <c r="J24" s="6" t="s">
        <v>283</v>
      </c>
      <c r="K24" s="40" t="n">
        <f aca="false">K23/K22-1</f>
        <v>-0.783103510567833</v>
      </c>
    </row>
    <row r="25" customFormat="false" ht="15" hidden="false" customHeight="false" outlineLevel="0" collapsed="false">
      <c r="B25" s="24" t="n">
        <v>44957</v>
      </c>
      <c r="C25" s="38" t="n">
        <v>7.233</v>
      </c>
      <c r="D25" s="38" t="n">
        <v>294.62</v>
      </c>
      <c r="E25" s="23" t="n">
        <f aca="false">C25/C24-1</f>
        <v>0.00277277138499943</v>
      </c>
      <c r="F25" s="23" t="n">
        <f aca="false">D25/D24-1</f>
        <v>0.0149860474730423</v>
      </c>
      <c r="G25" s="23" t="n">
        <f aca="false">E25-$K$7*F25</f>
        <v>-0.0422499585907518</v>
      </c>
      <c r="J25" s="6" t="s">
        <v>284</v>
      </c>
      <c r="K25" s="27" t="n">
        <f aca="false">INDEX($D$6:$D$629,MATCH(DATE(2024,11,14),$B$6:$B$629,0))/INDEX($D$6:$D$629,MATCH(DATE(2024,5,6),$B$6:$B$629,0))-1</f>
        <v>0.155457126632595</v>
      </c>
    </row>
    <row r="26" customFormat="false" ht="15" hidden="false" customHeight="false" outlineLevel="0" collapsed="false">
      <c r="B26" s="24" t="n">
        <v>44958</v>
      </c>
      <c r="C26" s="38" t="n">
        <v>7.974</v>
      </c>
      <c r="D26" s="38" t="n">
        <v>300.92</v>
      </c>
      <c r="E26" s="23" t="n">
        <f aca="false">C26/C25-1</f>
        <v>0.102447117378681</v>
      </c>
      <c r="F26" s="23" t="n">
        <f aca="false">D26/D25-1</f>
        <v>0.0213834770212478</v>
      </c>
      <c r="G26" s="23" t="n">
        <f aca="false">E26-$K$7*F26</f>
        <v>0.0382045268222218</v>
      </c>
    </row>
    <row r="27" customFormat="false" ht="15" hidden="false" customHeight="false" outlineLevel="0" collapsed="false">
      <c r="B27" s="24" t="n">
        <v>44959</v>
      </c>
      <c r="C27" s="38" t="n">
        <v>8.188</v>
      </c>
      <c r="D27" s="38" t="n">
        <v>311.72</v>
      </c>
      <c r="E27" s="23" t="n">
        <f aca="false">C27/C26-1</f>
        <v>0.0268372209681464</v>
      </c>
      <c r="F27" s="23" t="n">
        <f aca="false">D27/D26-1</f>
        <v>0.0358899375249235</v>
      </c>
      <c r="G27" s="23" t="n">
        <f aca="false">E27-$K$7*F27</f>
        <v>-0.0809872717099869</v>
      </c>
    </row>
    <row r="28" customFormat="false" ht="15" hidden="false" customHeight="false" outlineLevel="0" collapsed="false">
      <c r="B28" s="24" t="n">
        <v>44960</v>
      </c>
      <c r="C28" s="38" t="n">
        <v>8.434</v>
      </c>
      <c r="D28" s="38" t="n">
        <v>306.18</v>
      </c>
      <c r="E28" s="23" t="n">
        <f aca="false">C28/C27-1</f>
        <v>0.0300439667806549</v>
      </c>
      <c r="F28" s="23" t="n">
        <f aca="false">D28/D27-1</f>
        <v>-0.0177723598100861</v>
      </c>
      <c r="G28" s="23" t="n">
        <f aca="false">E28-$K$7*F28</f>
        <v>0.0834376423445931</v>
      </c>
    </row>
    <row r="29" customFormat="false" ht="15" hidden="false" customHeight="false" outlineLevel="0" collapsed="false">
      <c r="B29" s="24" t="n">
        <v>44963</v>
      </c>
      <c r="C29" s="38" t="n">
        <v>8.321</v>
      </c>
      <c r="D29" s="38" t="n">
        <v>303.59</v>
      </c>
      <c r="E29" s="23" t="n">
        <f aca="false">C29/C28-1</f>
        <v>-0.0133981503438465</v>
      </c>
      <c r="F29" s="23" t="n">
        <f aca="false">D29/D28-1</f>
        <v>-0.00845907636031107</v>
      </c>
      <c r="G29" s="23" t="n">
        <f aca="false">E29-$K$7*F29</f>
        <v>0.0120155360534266</v>
      </c>
    </row>
    <row r="30" customFormat="false" ht="15" hidden="false" customHeight="false" outlineLevel="0" collapsed="false">
      <c r="B30" s="24" t="n">
        <v>44964</v>
      </c>
      <c r="C30" s="38" t="n">
        <v>8.198</v>
      </c>
      <c r="D30" s="38" t="n">
        <v>309.88</v>
      </c>
      <c r="E30" s="23" t="n">
        <f aca="false">C30/C29-1</f>
        <v>-0.0147818771782237</v>
      </c>
      <c r="F30" s="23" t="n">
        <f aca="false">D30/D29-1</f>
        <v>0.0207187325010707</v>
      </c>
      <c r="G30" s="23" t="n">
        <f aca="false">E30-$K$7*F30</f>
        <v>-0.0770273692276463</v>
      </c>
    </row>
    <row r="31" customFormat="false" ht="15" hidden="false" customHeight="false" outlineLevel="0" collapsed="false">
      <c r="B31" s="24" t="n">
        <v>44965</v>
      </c>
      <c r="C31" s="38" t="n">
        <v>8.522</v>
      </c>
      <c r="D31" s="38" t="n">
        <v>304.37</v>
      </c>
      <c r="E31" s="23" t="n">
        <f aca="false">C31/C30-1</f>
        <v>0.0395218345938033</v>
      </c>
      <c r="F31" s="23" t="n">
        <f aca="false">D31/D30-1</f>
        <v>-0.0177810765457597</v>
      </c>
      <c r="G31" s="23" t="n">
        <f aca="false">E31-$K$7*F31</f>
        <v>0.0929416979325506</v>
      </c>
    </row>
    <row r="32" customFormat="false" ht="15" hidden="false" customHeight="false" outlineLevel="0" collapsed="false">
      <c r="B32" s="24" t="n">
        <v>44966</v>
      </c>
      <c r="C32" s="38" t="n">
        <v>8.7</v>
      </c>
      <c r="D32" s="38" t="n">
        <v>301.68</v>
      </c>
      <c r="E32" s="23" t="n">
        <f aca="false">C32/C31-1</f>
        <v>0.0208871157005397</v>
      </c>
      <c r="F32" s="23" t="n">
        <f aca="false">D32/D31-1</f>
        <v>-0.00883792752242341</v>
      </c>
      <c r="G32" s="23" t="n">
        <f aca="false">E32-$K$7*F32</f>
        <v>0.0474389883743121</v>
      </c>
    </row>
    <row r="33" customFormat="false" ht="15" hidden="false" customHeight="false" outlineLevel="0" collapsed="false">
      <c r="B33" s="24" t="n">
        <v>44967</v>
      </c>
      <c r="C33" s="38" t="n">
        <v>9.002</v>
      </c>
      <c r="D33" s="38" t="n">
        <v>299.7</v>
      </c>
      <c r="E33" s="23" t="n">
        <f aca="false">C33/C32-1</f>
        <v>0.0347126436781609</v>
      </c>
      <c r="F33" s="23" t="n">
        <f aca="false">D33/D32-1</f>
        <v>-0.00656324582338907</v>
      </c>
      <c r="G33" s="23" t="n">
        <f aca="false">E33-$K$7*F33</f>
        <v>0.0544306677270286</v>
      </c>
    </row>
    <row r="34" customFormat="false" ht="15" hidden="false" customHeight="false" outlineLevel="0" collapsed="false">
      <c r="B34" s="24" t="n">
        <v>44970</v>
      </c>
      <c r="C34" s="38" t="n">
        <v>9.053</v>
      </c>
      <c r="D34" s="38" t="n">
        <v>304.5</v>
      </c>
      <c r="E34" s="23" t="n">
        <f aca="false">C34/C33-1</f>
        <v>0.00566540768718093</v>
      </c>
      <c r="F34" s="23" t="n">
        <f aca="false">D34/D33-1</f>
        <v>0.0160160160160161</v>
      </c>
      <c r="G34" s="23" t="n">
        <f aca="false">E34-$K$7*F34</f>
        <v>-0.0424516669232875</v>
      </c>
    </row>
    <row r="35" customFormat="false" ht="15" hidden="false" customHeight="false" outlineLevel="0" collapsed="false">
      <c r="B35" s="24" t="n">
        <v>44971</v>
      </c>
      <c r="C35" s="38" t="n">
        <v>9.288</v>
      </c>
      <c r="D35" s="38" t="n">
        <v>306.75</v>
      </c>
      <c r="E35" s="23" t="n">
        <f aca="false">C35/C34-1</f>
        <v>0.0259582458853418</v>
      </c>
      <c r="F35" s="23" t="n">
        <f aca="false">D35/D34-1</f>
        <v>0.00738916256157629</v>
      </c>
      <c r="G35" s="23" t="n">
        <f aca="false">E35-$K$7*F35</f>
        <v>0.00375891204796929</v>
      </c>
    </row>
    <row r="36" customFormat="false" ht="15" hidden="false" customHeight="false" outlineLevel="0" collapsed="false">
      <c r="B36" s="24" t="n">
        <v>44972</v>
      </c>
      <c r="C36" s="38" t="n">
        <v>9.3</v>
      </c>
      <c r="D36" s="38" t="n">
        <v>309.1</v>
      </c>
      <c r="E36" s="23" t="n">
        <f aca="false">C36/C35-1</f>
        <v>0.00129198966408284</v>
      </c>
      <c r="F36" s="23" t="n">
        <f aca="false">D36/D35-1</f>
        <v>0.0076609616951917</v>
      </c>
      <c r="G36" s="23" t="n">
        <f aca="false">E36-$K$7*F36</f>
        <v>-0.0217239129865423</v>
      </c>
    </row>
    <row r="37" customFormat="false" ht="15" hidden="false" customHeight="false" outlineLevel="0" collapsed="false">
      <c r="B37" s="24" t="n">
        <v>44973</v>
      </c>
      <c r="C37" s="38" t="n">
        <v>9.588</v>
      </c>
      <c r="D37" s="38" t="n">
        <v>303.3</v>
      </c>
      <c r="E37" s="23" t="n">
        <f aca="false">C37/C36-1</f>
        <v>0.0309677419354837</v>
      </c>
      <c r="F37" s="23" t="n">
        <f aca="false">D37/D36-1</f>
        <v>-0.0187641539954707</v>
      </c>
      <c r="G37" s="23" t="n">
        <f aca="false">E37-$K$7*F37</f>
        <v>0.0873410745357697</v>
      </c>
    </row>
    <row r="38" customFormat="false" ht="15" hidden="false" customHeight="false" outlineLevel="0" collapsed="false">
      <c r="B38" s="24" t="n">
        <v>44974</v>
      </c>
      <c r="C38" s="38" t="n">
        <v>9.198</v>
      </c>
      <c r="D38" s="38" t="n">
        <v>301.16</v>
      </c>
      <c r="E38" s="23" t="n">
        <f aca="false">C38/C37-1</f>
        <v>-0.0406758448060074</v>
      </c>
      <c r="F38" s="23" t="n">
        <f aca="false">D38/D37-1</f>
        <v>-0.00705572040883606</v>
      </c>
      <c r="G38" s="23" t="n">
        <f aca="false">E38-$K$7*F38</f>
        <v>-0.0194782745111808</v>
      </c>
    </row>
    <row r="39" customFormat="false" ht="15" hidden="false" customHeight="false" outlineLevel="0" collapsed="false">
      <c r="B39" s="24" t="n">
        <v>44978</v>
      </c>
      <c r="C39" s="38" t="n">
        <v>8.806</v>
      </c>
      <c r="D39" s="38" t="n">
        <v>294.03</v>
      </c>
      <c r="E39" s="23" t="n">
        <f aca="false">C39/C38-1</f>
        <v>-0.0426179604261795</v>
      </c>
      <c r="F39" s="23" t="n">
        <f aca="false">D39/D38-1</f>
        <v>-0.0236751228582814</v>
      </c>
      <c r="G39" s="23" t="n">
        <f aca="false">E39-$K$7*F39</f>
        <v>0.0285094442820045</v>
      </c>
    </row>
    <row r="40" customFormat="false" ht="15" hidden="false" customHeight="false" outlineLevel="0" collapsed="false">
      <c r="B40" s="24" t="n">
        <v>44979</v>
      </c>
      <c r="C40" s="38" t="n">
        <v>8.671</v>
      </c>
      <c r="D40" s="38" t="n">
        <v>294.25</v>
      </c>
      <c r="E40" s="23" t="n">
        <f aca="false">C40/C39-1</f>
        <v>-0.0153304565069273</v>
      </c>
      <c r="F40" s="23" t="n">
        <f aca="false">D40/D39-1</f>
        <v>0.000748222970445189</v>
      </c>
      <c r="G40" s="23" t="n">
        <f aca="false">E40-$K$7*F40</f>
        <v>-0.0175783501440325</v>
      </c>
    </row>
    <row r="41" customFormat="false" ht="15" hidden="false" customHeight="false" outlineLevel="0" collapsed="false">
      <c r="B41" s="24" t="n">
        <v>44980</v>
      </c>
      <c r="C41" s="38" t="n">
        <v>9.427</v>
      </c>
      <c r="D41" s="38" t="n">
        <v>296.82</v>
      </c>
      <c r="E41" s="23" t="n">
        <f aca="false">C41/C40-1</f>
        <v>0.0871871756429479</v>
      </c>
      <c r="F41" s="23" t="n">
        <f aca="false">D41/D40-1</f>
        <v>0.00873406966864909</v>
      </c>
      <c r="G41" s="23" t="n">
        <f aca="false">E41-$K$7*F41</f>
        <v>0.0609473241418531</v>
      </c>
    </row>
    <row r="42" customFormat="false" ht="15" hidden="false" customHeight="false" outlineLevel="0" collapsed="false">
      <c r="B42" s="24" t="n">
        <v>44981</v>
      </c>
      <c r="C42" s="38" t="n">
        <v>9.816</v>
      </c>
      <c r="D42" s="38" t="n">
        <v>291.85</v>
      </c>
      <c r="E42" s="23" t="n">
        <f aca="false">C42/C41-1</f>
        <v>0.041264453166437</v>
      </c>
      <c r="F42" s="23" t="n">
        <f aca="false">D42/D41-1</f>
        <v>-0.0167441547065561</v>
      </c>
      <c r="G42" s="23" t="n">
        <f aca="false">E42-$K$7*F42</f>
        <v>0.0915690820141418</v>
      </c>
    </row>
    <row r="43" customFormat="false" ht="15" hidden="false" customHeight="false" outlineLevel="0" collapsed="false">
      <c r="B43" s="24" t="n">
        <v>44984</v>
      </c>
      <c r="C43" s="38" t="n">
        <v>10.113</v>
      </c>
      <c r="D43" s="38" t="n">
        <v>293.94</v>
      </c>
      <c r="E43" s="23" t="n">
        <f aca="false">C43/C42-1</f>
        <v>0.0302567237163813</v>
      </c>
      <c r="F43" s="23" t="n">
        <f aca="false">D43/D42-1</f>
        <v>0.00716121295185879</v>
      </c>
      <c r="G43" s="23" t="n">
        <f aca="false">E43-$K$7*F43</f>
        <v>0.00874222113587296</v>
      </c>
    </row>
    <row r="44" customFormat="false" ht="15" hidden="false" customHeight="false" outlineLevel="0" collapsed="false">
      <c r="B44" s="24" t="n">
        <v>44985</v>
      </c>
      <c r="C44" s="38" t="n">
        <v>9.797</v>
      </c>
      <c r="D44" s="38" t="n">
        <v>293.56</v>
      </c>
      <c r="E44" s="23" t="n">
        <f aca="false">C44/C43-1</f>
        <v>-0.0312469099179273</v>
      </c>
      <c r="F44" s="23" t="n">
        <f aca="false">D44/D43-1</f>
        <v>-0.00129278083962714</v>
      </c>
      <c r="G44" s="23" t="n">
        <f aca="false">E44-$K$7*F44</f>
        <v>-0.0273629957127269</v>
      </c>
    </row>
    <row r="45" customFormat="false" ht="15" hidden="false" customHeight="false" outlineLevel="0" collapsed="false">
      <c r="B45" s="24" t="n">
        <v>44986</v>
      </c>
      <c r="C45" s="38" t="n">
        <v>10.2</v>
      </c>
      <c r="D45" s="38" t="n">
        <v>291.2</v>
      </c>
      <c r="E45" s="23" t="n">
        <f aca="false">C45/C44-1</f>
        <v>0.0411350413391853</v>
      </c>
      <c r="F45" s="23" t="n">
        <f aca="false">D45/D44-1</f>
        <v>-0.00803924240359721</v>
      </c>
      <c r="G45" s="23" t="n">
        <f aca="false">E45-$K$7*F45</f>
        <v>0.0652874164466216</v>
      </c>
    </row>
    <row r="46" customFormat="false" ht="15" hidden="false" customHeight="false" outlineLevel="0" collapsed="false">
      <c r="B46" s="24" t="n">
        <v>44987</v>
      </c>
      <c r="C46" s="38" t="n">
        <v>9.837</v>
      </c>
      <c r="D46" s="38" t="n">
        <v>293.61</v>
      </c>
      <c r="E46" s="23" t="n">
        <f aca="false">C46/C45-1</f>
        <v>-0.0355882352941176</v>
      </c>
      <c r="F46" s="23" t="n">
        <f aca="false">D46/D45-1</f>
        <v>0.00827609890109904</v>
      </c>
      <c r="G46" s="23" t="n">
        <f aca="false">E46-$K$7*F46</f>
        <v>-0.0604522007090856</v>
      </c>
    </row>
    <row r="47" customFormat="false" ht="15" hidden="false" customHeight="false" outlineLevel="0" collapsed="false">
      <c r="B47" s="24" t="n">
        <v>44988</v>
      </c>
      <c r="C47" s="38" t="n">
        <v>9.783</v>
      </c>
      <c r="D47" s="38" t="n">
        <v>299.68</v>
      </c>
      <c r="E47" s="23" t="n">
        <f aca="false">C47/C46-1</f>
        <v>-0.00548947849954262</v>
      </c>
      <c r="F47" s="23" t="n">
        <f aca="false">D47/D46-1</f>
        <v>0.0206736827764722</v>
      </c>
      <c r="G47" s="23" t="n">
        <f aca="false">E47-$K$7*F47</f>
        <v>-0.0675996272177947</v>
      </c>
    </row>
    <row r="48" customFormat="false" ht="15" hidden="false" customHeight="false" outlineLevel="0" collapsed="false">
      <c r="B48" s="24" t="n">
        <v>44991</v>
      </c>
      <c r="C48" s="38" t="n">
        <v>9.83</v>
      </c>
      <c r="D48" s="38" t="n">
        <v>300.02</v>
      </c>
      <c r="E48" s="23" t="n">
        <f aca="false">C48/C47-1</f>
        <v>0.00480425227435344</v>
      </c>
      <c r="F48" s="23" t="n">
        <f aca="false">D48/D47-1</f>
        <v>0.00113454351308051</v>
      </c>
      <c r="G48" s="23" t="n">
        <f aca="false">E48-$K$7*F48</f>
        <v>0.00139573202730032</v>
      </c>
    </row>
    <row r="49" customFormat="false" ht="15" hidden="false" customHeight="false" outlineLevel="0" collapsed="false">
      <c r="B49" s="24" t="n">
        <v>44992</v>
      </c>
      <c r="C49" s="38" t="n">
        <v>9.851</v>
      </c>
      <c r="D49" s="38" t="n">
        <v>296.34</v>
      </c>
      <c r="E49" s="23" t="n">
        <f aca="false">C49/C48-1</f>
        <v>0.00213631739572739</v>
      </c>
      <c r="F49" s="23" t="n">
        <f aca="false">D49/D48-1</f>
        <v>-0.0122658489434038</v>
      </c>
      <c r="G49" s="23" t="n">
        <f aca="false">E49-$K$7*F49</f>
        <v>0.0389867281458349</v>
      </c>
    </row>
    <row r="50" customFormat="false" ht="15" hidden="false" customHeight="false" outlineLevel="0" collapsed="false">
      <c r="B50" s="24" t="n">
        <v>44993</v>
      </c>
      <c r="C50" s="38" t="n">
        <v>10.235</v>
      </c>
      <c r="D50" s="38" t="n">
        <v>297.82</v>
      </c>
      <c r="E50" s="23" t="n">
        <f aca="false">C50/C49-1</f>
        <v>0.038980814130545</v>
      </c>
      <c r="F50" s="23" t="n">
        <f aca="false">D50/D49-1</f>
        <v>0.0049942633461566</v>
      </c>
      <c r="G50" s="23" t="n">
        <f aca="false">E50-$K$7*F50</f>
        <v>0.0239764995862142</v>
      </c>
    </row>
    <row r="51" customFormat="false" ht="15" hidden="false" customHeight="false" outlineLevel="0" collapsed="false">
      <c r="B51" s="24" t="n">
        <v>44994</v>
      </c>
      <c r="C51" s="38" t="n">
        <v>9.856</v>
      </c>
      <c r="D51" s="38" t="n">
        <v>292.66</v>
      </c>
      <c r="E51" s="23" t="n">
        <f aca="false">C51/C50-1</f>
        <v>-0.0370297997068881</v>
      </c>
      <c r="F51" s="23" t="n">
        <f aca="false">D51/D50-1</f>
        <v>-0.0173259015512725</v>
      </c>
      <c r="G51" s="23" t="n">
        <f aca="false">E51-$K$7*F51</f>
        <v>0.0150225769142722</v>
      </c>
    </row>
    <row r="52" customFormat="false" ht="15" hidden="false" customHeight="false" outlineLevel="0" collapsed="false">
      <c r="B52" s="24" t="n">
        <v>44995</v>
      </c>
      <c r="C52" s="38" t="n">
        <v>9.276</v>
      </c>
      <c r="D52" s="38" t="n">
        <v>288.55</v>
      </c>
      <c r="E52" s="23" t="n">
        <f aca="false">C52/C51-1</f>
        <v>-0.0588474025974026</v>
      </c>
      <c r="F52" s="23" t="n">
        <f aca="false">D52/D51-1</f>
        <v>-0.0140436000820064</v>
      </c>
      <c r="G52" s="23" t="n">
        <f aca="false">E52-$K$7*F52</f>
        <v>-0.0166560765978692</v>
      </c>
    </row>
    <row r="53" customFormat="false" ht="15" hidden="false" customHeight="false" outlineLevel="0" collapsed="false">
      <c r="B53" s="24" t="n">
        <v>44998</v>
      </c>
      <c r="C53" s="38" t="n">
        <v>8.928</v>
      </c>
      <c r="D53" s="38" t="n">
        <v>290.69</v>
      </c>
      <c r="E53" s="23" t="n">
        <f aca="false">C53/C52-1</f>
        <v>-0.03751617076326</v>
      </c>
      <c r="F53" s="23" t="n">
        <f aca="false">D53/D52-1</f>
        <v>0.00741639230635927</v>
      </c>
      <c r="G53" s="23" t="n">
        <f aca="false">E53-$K$7*F53</f>
        <v>-0.0597973111909878</v>
      </c>
    </row>
    <row r="54" customFormat="false" ht="15" hidden="false" customHeight="false" outlineLevel="0" collapsed="false">
      <c r="B54" s="24" t="n">
        <v>44999</v>
      </c>
      <c r="C54" s="38" t="n">
        <v>9.247</v>
      </c>
      <c r="D54" s="38" t="n">
        <v>297.37</v>
      </c>
      <c r="E54" s="23" t="n">
        <f aca="false">C54/C53-1</f>
        <v>0.0357302867383511</v>
      </c>
      <c r="F54" s="23" t="n">
        <f aca="false">D54/D53-1</f>
        <v>0.022979806666896</v>
      </c>
      <c r="G54" s="23" t="n">
        <f aca="false">E54-$K$7*F54</f>
        <v>-0.0333081726899767</v>
      </c>
    </row>
    <row r="55" customFormat="false" ht="15" hidden="false" customHeight="false" outlineLevel="0" collapsed="false">
      <c r="B55" s="24" t="n">
        <v>45000</v>
      </c>
      <c r="C55" s="38" t="n">
        <v>9.175</v>
      </c>
      <c r="D55" s="38" t="n">
        <v>298.93</v>
      </c>
      <c r="E55" s="23" t="n">
        <f aca="false">C55/C54-1</f>
        <v>-0.00778630907321287</v>
      </c>
      <c r="F55" s="23" t="n">
        <f aca="false">D55/D54-1</f>
        <v>0.0052459898443018</v>
      </c>
      <c r="G55" s="23" t="n">
        <f aca="false">E55-$K$7*F55</f>
        <v>-0.0235468880144181</v>
      </c>
    </row>
    <row r="56" customFormat="false" ht="15" hidden="false" customHeight="false" outlineLevel="0" collapsed="false">
      <c r="B56" s="24" t="n">
        <v>45001</v>
      </c>
      <c r="C56" s="38" t="n">
        <v>9.723</v>
      </c>
      <c r="D56" s="38" t="n">
        <v>306.81</v>
      </c>
      <c r="E56" s="23" t="n">
        <f aca="false">C56/C55-1</f>
        <v>0.0597275204359673</v>
      </c>
      <c r="F56" s="23" t="n">
        <f aca="false">D56/D55-1</f>
        <v>0.0263606864483323</v>
      </c>
      <c r="G56" s="23" t="n">
        <f aca="false">E56-$K$7*F56</f>
        <v>-0.0194681494078418</v>
      </c>
    </row>
    <row r="57" customFormat="false" ht="15" hidden="false" customHeight="false" outlineLevel="0" collapsed="false">
      <c r="B57" s="24" t="n">
        <v>45002</v>
      </c>
      <c r="C57" s="38" t="n">
        <v>9.55</v>
      </c>
      <c r="D57" s="38" t="n">
        <v>305.36</v>
      </c>
      <c r="E57" s="23" t="n">
        <f aca="false">C57/C56-1</f>
        <v>-0.0177928622853029</v>
      </c>
      <c r="F57" s="23" t="n">
        <f aca="false">D57/D56-1</f>
        <v>-0.00472605195397802</v>
      </c>
      <c r="G57" s="23" t="n">
        <f aca="false">E57-$K$7*F57</f>
        <v>-0.0035943378673012</v>
      </c>
    </row>
    <row r="58" customFormat="false" ht="15" hidden="false" customHeight="false" outlineLevel="0" collapsed="false">
      <c r="B58" s="24" t="n">
        <v>45005</v>
      </c>
      <c r="C58" s="38" t="n">
        <v>9.852</v>
      </c>
      <c r="D58" s="38" t="n">
        <v>305.97</v>
      </c>
      <c r="E58" s="23" t="n">
        <f aca="false">C58/C57-1</f>
        <v>0.0316230366492145</v>
      </c>
      <c r="F58" s="23" t="n">
        <f aca="false">D58/D57-1</f>
        <v>0.00199764212732512</v>
      </c>
      <c r="G58" s="23" t="n">
        <f aca="false">E58-$K$7*F58</f>
        <v>0.025621500737325</v>
      </c>
    </row>
    <row r="59" customFormat="false" ht="15" hidden="false" customHeight="false" outlineLevel="0" collapsed="false">
      <c r="B59" s="24" t="n">
        <v>45006</v>
      </c>
      <c r="C59" s="38" t="n">
        <v>10.825</v>
      </c>
      <c r="D59" s="38" t="n">
        <v>310.34</v>
      </c>
      <c r="E59" s="23" t="n">
        <f aca="false">C59/C58-1</f>
        <v>0.0987616727568006</v>
      </c>
      <c r="F59" s="23" t="n">
        <f aca="false">D59/D58-1</f>
        <v>0.0142824459914368</v>
      </c>
      <c r="G59" s="23" t="n">
        <f aca="false">E59-$K$7*F59</f>
        <v>0.0558527796398908</v>
      </c>
    </row>
    <row r="60" customFormat="false" ht="15" hidden="false" customHeight="false" outlineLevel="0" collapsed="false">
      <c r="B60" s="24" t="n">
        <v>45007</v>
      </c>
      <c r="C60" s="38" t="n">
        <v>11.254</v>
      </c>
      <c r="D60" s="38" t="n">
        <v>306.12</v>
      </c>
      <c r="E60" s="23" t="n">
        <f aca="false">C60/C59-1</f>
        <v>0.0396304849884528</v>
      </c>
      <c r="F60" s="23" t="n">
        <f aca="false">D60/D59-1</f>
        <v>-0.0135979893020557</v>
      </c>
      <c r="G60" s="23" t="n">
        <f aca="false">E60-$K$7*F60</f>
        <v>0.0804830581343004</v>
      </c>
    </row>
    <row r="61" customFormat="false" ht="15" hidden="false" customHeight="false" outlineLevel="0" collapsed="false">
      <c r="B61" s="24" t="n">
        <v>45008</v>
      </c>
      <c r="C61" s="38" t="n">
        <v>11.4</v>
      </c>
      <c r="D61" s="38" t="n">
        <v>309.75</v>
      </c>
      <c r="E61" s="23" t="n">
        <f aca="false">C61/C60-1</f>
        <v>0.0129731650968545</v>
      </c>
      <c r="F61" s="23" t="n">
        <f aca="false">D61/D60-1</f>
        <v>0.0118580948647589</v>
      </c>
      <c r="G61" s="23" t="n">
        <f aca="false">E61-$K$7*F61</f>
        <v>-0.0226522260600371</v>
      </c>
    </row>
    <row r="62" customFormat="false" ht="15" hidden="false" customHeight="false" outlineLevel="0" collapsed="false">
      <c r="B62" s="24" t="n">
        <v>45009</v>
      </c>
      <c r="C62" s="38" t="n">
        <v>11.083</v>
      </c>
      <c r="D62" s="38" t="n">
        <v>310.89</v>
      </c>
      <c r="E62" s="23" t="n">
        <f aca="false">C62/C61-1</f>
        <v>-0.0278070175438596</v>
      </c>
      <c r="F62" s="23" t="n">
        <f aca="false">D62/D61-1</f>
        <v>0.00368038740920085</v>
      </c>
      <c r="G62" s="23" t="n">
        <f aca="false">E62-$K$7*F62</f>
        <v>-0.0388640416743834</v>
      </c>
    </row>
    <row r="63" customFormat="false" ht="15" hidden="false" customHeight="false" outlineLevel="0" collapsed="false">
      <c r="B63" s="24" t="n">
        <v>45012</v>
      </c>
      <c r="C63" s="38" t="n">
        <v>11.09</v>
      </c>
      <c r="D63" s="38" t="n">
        <v>308.76</v>
      </c>
      <c r="E63" s="23" t="n">
        <f aca="false">C63/C62-1</f>
        <v>0.000631597942795326</v>
      </c>
      <c r="F63" s="23" t="n">
        <f aca="false">D63/D62-1</f>
        <v>-0.00685129788671235</v>
      </c>
      <c r="G63" s="23" t="n">
        <f aca="false">E63-$K$7*F63</f>
        <v>0.0212150196416633</v>
      </c>
    </row>
    <row r="64" customFormat="false" ht="15" hidden="false" customHeight="false" outlineLevel="0" collapsed="false">
      <c r="B64" s="24" t="n">
        <v>45013</v>
      </c>
      <c r="C64" s="38" t="n">
        <v>10.278</v>
      </c>
      <c r="D64" s="38" t="n">
        <v>307.12</v>
      </c>
      <c r="E64" s="23" t="n">
        <f aca="false">C64/C63-1</f>
        <v>-0.0732191163210099</v>
      </c>
      <c r="F64" s="23" t="n">
        <f aca="false">D64/D63-1</f>
        <v>-0.00531156885606943</v>
      </c>
      <c r="G64" s="23" t="n">
        <f aca="false">E64-$K$7*F64</f>
        <v>-0.0572615177090608</v>
      </c>
    </row>
    <row r="65" customFormat="false" ht="15" hidden="false" customHeight="false" outlineLevel="0" collapsed="false">
      <c r="B65" s="24" t="n">
        <v>45014</v>
      </c>
      <c r="C65" s="38" t="n">
        <v>10.565</v>
      </c>
      <c r="D65" s="38" t="n">
        <v>312.72</v>
      </c>
      <c r="E65" s="23" t="n">
        <f aca="false">C65/C64-1</f>
        <v>0.0279237205682039</v>
      </c>
      <c r="F65" s="23" t="n">
        <f aca="false">D65/D64-1</f>
        <v>0.0182339150820527</v>
      </c>
      <c r="G65" s="23" t="n">
        <f aca="false">E65-$K$7*F65</f>
        <v>-0.0268566100437728</v>
      </c>
    </row>
    <row r="66" customFormat="false" ht="15" hidden="false" customHeight="false" outlineLevel="0" collapsed="false">
      <c r="B66" s="24" t="n">
        <v>45015</v>
      </c>
      <c r="C66" s="38" t="n">
        <v>10.334</v>
      </c>
      <c r="D66" s="38" t="n">
        <v>315.68</v>
      </c>
      <c r="E66" s="23" t="n">
        <f aca="false">C66/C65-1</f>
        <v>-0.0218646474207288</v>
      </c>
      <c r="F66" s="23" t="n">
        <f aca="false">D66/D65-1</f>
        <v>0.00946533640317204</v>
      </c>
      <c r="G66" s="23" t="n">
        <f aca="false">E66-$K$7*F66</f>
        <v>-0.0503014507723966</v>
      </c>
    </row>
    <row r="67" customFormat="false" ht="15" hidden="false" customHeight="false" outlineLevel="0" collapsed="false">
      <c r="B67" s="24" t="n">
        <v>45016</v>
      </c>
      <c r="C67" s="38" t="n">
        <v>10.655</v>
      </c>
      <c r="D67" s="38" t="n">
        <v>320.93</v>
      </c>
      <c r="E67" s="23" t="n">
        <f aca="false">C67/C66-1</f>
        <v>0.0310625120959938</v>
      </c>
      <c r="F67" s="23" t="n">
        <f aca="false">D67/D66-1</f>
        <v>0.0166307653319817</v>
      </c>
      <c r="G67" s="23" t="n">
        <f aca="false">E67-$K$7*F67</f>
        <v>-0.0189014599372464</v>
      </c>
    </row>
    <row r="68" customFormat="false" ht="15" hidden="false" customHeight="false" outlineLevel="0" collapsed="false">
      <c r="B68" s="24" t="n">
        <v>45019</v>
      </c>
      <c r="C68" s="38" t="n">
        <v>11.272</v>
      </c>
      <c r="D68" s="38" t="n">
        <v>320.15</v>
      </c>
      <c r="E68" s="23" t="n">
        <f aca="false">C68/C67-1</f>
        <v>0.057907085875176</v>
      </c>
      <c r="F68" s="23" t="n">
        <f aca="false">D68/D67-1</f>
        <v>-0.00243043654379471</v>
      </c>
      <c r="G68" s="23" t="n">
        <f aca="false">E68-$K$7*F68</f>
        <v>0.0652088703137551</v>
      </c>
    </row>
    <row r="69" customFormat="false" ht="15" hidden="false" customHeight="false" outlineLevel="0" collapsed="false">
      <c r="B69" s="24" t="n">
        <v>45020</v>
      </c>
      <c r="C69" s="38" t="n">
        <v>10.946</v>
      </c>
      <c r="D69" s="38" t="n">
        <v>319.07</v>
      </c>
      <c r="E69" s="23" t="n">
        <f aca="false">C69/C68-1</f>
        <v>-0.0289212207239177</v>
      </c>
      <c r="F69" s="23" t="n">
        <f aca="false">D69/D68-1</f>
        <v>-0.00337341870997965</v>
      </c>
      <c r="G69" s="23" t="n">
        <f aca="false">E69-$K$7*F69</f>
        <v>-0.0187864256788752</v>
      </c>
    </row>
    <row r="70" customFormat="false" ht="15" hidden="false" customHeight="false" outlineLevel="0" collapsed="false">
      <c r="B70" s="24" t="n">
        <v>45021</v>
      </c>
      <c r="C70" s="38" t="n">
        <v>10.803</v>
      </c>
      <c r="D70" s="38" t="n">
        <v>315.92</v>
      </c>
      <c r="E70" s="23" t="n">
        <f aca="false">C70/C69-1</f>
        <v>-0.013064133016627</v>
      </c>
      <c r="F70" s="23" t="n">
        <f aca="false">D70/D69-1</f>
        <v>-0.00987244178393454</v>
      </c>
      <c r="G70" s="23" t="n">
        <f aca="false">E70-$K$7*F70</f>
        <v>0.0165957410388215</v>
      </c>
    </row>
    <row r="71" customFormat="false" ht="15" hidden="false" customHeight="false" outlineLevel="0" collapsed="false">
      <c r="B71" s="24" t="n">
        <v>45022</v>
      </c>
      <c r="C71" s="38" t="n">
        <v>10.069</v>
      </c>
      <c r="D71" s="38" t="n">
        <v>318.05</v>
      </c>
      <c r="E71" s="23" t="n">
        <f aca="false">C71/C70-1</f>
        <v>-0.0679440896047394</v>
      </c>
      <c r="F71" s="23" t="n">
        <f aca="false">D71/D70-1</f>
        <v>0.00674221321853641</v>
      </c>
      <c r="G71" s="23" t="n">
        <f aca="false">E71-$K$7*F71</f>
        <v>-0.0881997871609597</v>
      </c>
    </row>
    <row r="72" customFormat="false" ht="15" hidden="false" customHeight="false" outlineLevel="0" collapsed="false">
      <c r="B72" s="24" t="n">
        <v>45026</v>
      </c>
      <c r="C72" s="38" t="n">
        <v>10.655</v>
      </c>
      <c r="D72" s="38" t="n">
        <v>317.87</v>
      </c>
      <c r="E72" s="23" t="n">
        <f aca="false">C72/C71-1</f>
        <v>0.0581984308272916</v>
      </c>
      <c r="F72" s="23" t="n">
        <f aca="false">D72/D71-1</f>
        <v>-0.000565948750196554</v>
      </c>
      <c r="G72" s="23" t="n">
        <f aca="false">E72-$K$7*F72</f>
        <v>0.0598987162298335</v>
      </c>
    </row>
    <row r="73" customFormat="false" ht="15" hidden="false" customHeight="false" outlineLevel="0" collapsed="false">
      <c r="B73" s="24" t="n">
        <v>45027</v>
      </c>
      <c r="C73" s="38" t="n">
        <v>10.468</v>
      </c>
      <c r="D73" s="38" t="n">
        <v>315.83</v>
      </c>
      <c r="E73" s="23" t="n">
        <f aca="false">C73/C72-1</f>
        <v>-0.0175504458000938</v>
      </c>
      <c r="F73" s="23" t="n">
        <f aca="false">D73/D72-1</f>
        <v>-0.0064177179350049</v>
      </c>
      <c r="G73" s="23" t="n">
        <f aca="false">E73-$K$7*F73</f>
        <v>0.00173036738083511</v>
      </c>
    </row>
    <row r="74" customFormat="false" ht="15" hidden="false" customHeight="false" outlineLevel="0" collapsed="false">
      <c r="B74" s="24" t="n">
        <v>45028</v>
      </c>
      <c r="C74" s="38" t="n">
        <v>10.811</v>
      </c>
      <c r="D74" s="38" t="n">
        <v>313.04</v>
      </c>
      <c r="E74" s="23" t="n">
        <f aca="false">C74/C73-1</f>
        <v>0.0327665265571264</v>
      </c>
      <c r="F74" s="23" t="n">
        <f aca="false">D74/D73-1</f>
        <v>-0.00883386632048877</v>
      </c>
      <c r="G74" s="23" t="n">
        <f aca="false">E74-$K$7*F74</f>
        <v>0.05930619812194</v>
      </c>
    </row>
    <row r="75" customFormat="false" ht="15" hidden="false" customHeight="false" outlineLevel="0" collapsed="false">
      <c r="B75" s="24" t="n">
        <v>45029</v>
      </c>
      <c r="C75" s="38" t="n">
        <v>10.824</v>
      </c>
      <c r="D75" s="38" t="n">
        <v>319.17</v>
      </c>
      <c r="E75" s="23" t="n">
        <f aca="false">C75/C74-1</f>
        <v>0.00120247895661829</v>
      </c>
      <c r="F75" s="23" t="n">
        <f aca="false">D75/D74-1</f>
        <v>0.0195821620240224</v>
      </c>
      <c r="G75" s="23" t="n">
        <f aca="false">E75-$K$7*F75</f>
        <v>-0.0576284032179453</v>
      </c>
    </row>
    <row r="76" customFormat="false" ht="15" hidden="false" customHeight="false" outlineLevel="0" collapsed="false">
      <c r="B76" s="24" t="n">
        <v>45030</v>
      </c>
      <c r="C76" s="38" t="n">
        <v>10.915</v>
      </c>
      <c r="D76" s="38" t="n">
        <v>318.57</v>
      </c>
      <c r="E76" s="23" t="n">
        <f aca="false">C76/C75-1</f>
        <v>0.00840724316334063</v>
      </c>
      <c r="F76" s="23" t="n">
        <f aca="false">D76/D75-1</f>
        <v>-0.00187987592818883</v>
      </c>
      <c r="G76" s="23" t="n">
        <f aca="false">E76-$K$7*F76</f>
        <v>0.01405497292364</v>
      </c>
    </row>
    <row r="77" customFormat="false" ht="15" hidden="false" customHeight="false" outlineLevel="0" collapsed="false">
      <c r="B77" s="24" t="n">
        <v>45033</v>
      </c>
      <c r="C77" s="38" t="n">
        <v>11.043</v>
      </c>
      <c r="D77" s="38" t="n">
        <v>318.84</v>
      </c>
      <c r="E77" s="23" t="n">
        <f aca="false">C77/C76-1</f>
        <v>0.0117269812185066</v>
      </c>
      <c r="F77" s="23" t="n">
        <f aca="false">D77/D76-1</f>
        <v>0.000847537432903334</v>
      </c>
      <c r="G77" s="23" t="n">
        <f aca="false">E77-$K$7*F77</f>
        <v>0.00918071616398906</v>
      </c>
    </row>
    <row r="78" customFormat="false" ht="15" hidden="false" customHeight="false" outlineLevel="0" collapsed="false">
      <c r="B78" s="24" t="n">
        <v>45034</v>
      </c>
      <c r="C78" s="38" t="n">
        <v>11.588</v>
      </c>
      <c r="D78" s="38" t="n">
        <v>318.86</v>
      </c>
      <c r="E78" s="23" t="n">
        <f aca="false">C78/C77-1</f>
        <v>0.0493525310151226</v>
      </c>
      <c r="F78" s="23" t="n">
        <f aca="false">D78/D77-1</f>
        <v>6.27273867772615E-005</v>
      </c>
      <c r="G78" s="23" t="n">
        <f aca="false">E78-$K$7*F78</f>
        <v>0.0491640785094144</v>
      </c>
    </row>
    <row r="79" customFormat="false" ht="15" hidden="false" customHeight="false" outlineLevel="0" collapsed="false">
      <c r="B79" s="24" t="n">
        <v>45035</v>
      </c>
      <c r="C79" s="38" t="n">
        <v>10.982</v>
      </c>
      <c r="D79" s="38" t="n">
        <v>318.71</v>
      </c>
      <c r="E79" s="23" t="n">
        <f aca="false">C79/C78-1</f>
        <v>-0.0522954780807732</v>
      </c>
      <c r="F79" s="23" t="n">
        <f aca="false">D79/D78-1</f>
        <v>-0.000470425892241222</v>
      </c>
      <c r="G79" s="23" t="n">
        <f aca="false">E79-$K$7*F79</f>
        <v>-0.0508821729409037</v>
      </c>
    </row>
    <row r="80" customFormat="false" ht="15" hidden="false" customHeight="false" outlineLevel="0" collapsed="false">
      <c r="B80" s="24" t="n">
        <v>45036</v>
      </c>
      <c r="C80" s="38" t="n">
        <v>10.801</v>
      </c>
      <c r="D80" s="38" t="n">
        <v>316.28</v>
      </c>
      <c r="E80" s="23" t="n">
        <f aca="false">C80/C79-1</f>
        <v>-0.0164815152067018</v>
      </c>
      <c r="F80" s="23" t="n">
        <f aca="false">D80/D79-1</f>
        <v>-0.0076244862100342</v>
      </c>
      <c r="G80" s="23" t="n">
        <f aca="false">E80-$K$7*F80</f>
        <v>0.00642480378472732</v>
      </c>
    </row>
    <row r="81" customFormat="false" ht="15" hidden="false" customHeight="false" outlineLevel="0" collapsed="false">
      <c r="B81" s="24" t="n">
        <v>45037</v>
      </c>
      <c r="C81" s="38" t="n">
        <v>10.732</v>
      </c>
      <c r="D81" s="38" t="n">
        <v>316.61</v>
      </c>
      <c r="E81" s="23" t="n">
        <f aca="false">C81/C80-1</f>
        <v>-0.00638829737987234</v>
      </c>
      <c r="F81" s="23" t="n">
        <f aca="false">D81/D80-1</f>
        <v>0.00104337928417864</v>
      </c>
      <c r="G81" s="23" t="n">
        <f aca="false">E81-$K$7*F81</f>
        <v>-0.00952293203643337</v>
      </c>
    </row>
    <row r="82" customFormat="false" ht="15" hidden="false" customHeight="false" outlineLevel="0" collapsed="false">
      <c r="B82" s="24" t="n">
        <v>45040</v>
      </c>
      <c r="C82" s="38" t="n">
        <v>9.859</v>
      </c>
      <c r="D82" s="38" t="n">
        <v>315.95</v>
      </c>
      <c r="E82" s="23" t="n">
        <f aca="false">C82/C81-1</f>
        <v>-0.0813455087588519</v>
      </c>
      <c r="F82" s="23" t="n">
        <f aca="false">D82/D81-1</f>
        <v>-0.00208458355705765</v>
      </c>
      <c r="G82" s="23" t="n">
        <f aca="false">E82-$K$7*F82</f>
        <v>-0.0750827738535925</v>
      </c>
    </row>
    <row r="83" customFormat="false" ht="15" hidden="false" customHeight="false" outlineLevel="0" collapsed="false">
      <c r="B83" s="24" t="n">
        <v>45041</v>
      </c>
      <c r="C83" s="38" t="n">
        <v>9.328</v>
      </c>
      <c r="D83" s="38" t="n">
        <v>309.99</v>
      </c>
      <c r="E83" s="23" t="n">
        <f aca="false">C83/C82-1</f>
        <v>-0.053859417790851</v>
      </c>
      <c r="F83" s="23" t="n">
        <f aca="false">D83/D82-1</f>
        <v>-0.0188637442633327</v>
      </c>
      <c r="G83" s="23" t="n">
        <f aca="false">E83-$K$7*F83</f>
        <v>0.00281311483173764</v>
      </c>
    </row>
    <row r="84" customFormat="false" ht="15" hidden="false" customHeight="false" outlineLevel="0" collapsed="false">
      <c r="B84" s="24" t="n">
        <v>45042</v>
      </c>
      <c r="C84" s="38" t="n">
        <v>9.489</v>
      </c>
      <c r="D84" s="38" t="n">
        <v>311.87</v>
      </c>
      <c r="E84" s="23" t="n">
        <f aca="false">C84/C83-1</f>
        <v>0.0172598627787308</v>
      </c>
      <c r="F84" s="23" t="n">
        <f aca="false">D84/D83-1</f>
        <v>0.00606471176489554</v>
      </c>
      <c r="G84" s="23" t="n">
        <f aca="false">E84-$K$7*F84</f>
        <v>-0.000960410489642932</v>
      </c>
    </row>
    <row r="85" customFormat="false" ht="15" hidden="false" customHeight="false" outlineLevel="0" collapsed="false">
      <c r="B85" s="24" t="n">
        <v>45043</v>
      </c>
      <c r="C85" s="38" t="n">
        <v>9.858</v>
      </c>
      <c r="D85" s="38" t="n">
        <v>320.35</v>
      </c>
      <c r="E85" s="23" t="n">
        <f aca="false">C85/C84-1</f>
        <v>0.0388871324691749</v>
      </c>
      <c r="F85" s="23" t="n">
        <f aca="false">D85/D84-1</f>
        <v>0.0271908166864399</v>
      </c>
      <c r="G85" s="23" t="n">
        <f aca="false">E85-$K$7*F85</f>
        <v>-0.0428025058224356</v>
      </c>
    </row>
    <row r="86" customFormat="false" ht="15" hidden="false" customHeight="false" outlineLevel="0" collapsed="false">
      <c r="B86" s="24" t="n">
        <v>45044</v>
      </c>
      <c r="C86" s="38" t="n">
        <v>10.543</v>
      </c>
      <c r="D86" s="38" t="n">
        <v>322.56</v>
      </c>
      <c r="E86" s="23" t="n">
        <f aca="false">C86/C85-1</f>
        <v>0.0694867113004665</v>
      </c>
      <c r="F86" s="23" t="n">
        <f aca="false">D86/D85-1</f>
        <v>0.00689870454190733</v>
      </c>
      <c r="G86" s="23" t="n">
        <f aca="false">E86-$K$7*F86</f>
        <v>0.0487608653206307</v>
      </c>
    </row>
    <row r="87" customFormat="false" ht="15" hidden="false" customHeight="false" outlineLevel="0" collapsed="false">
      <c r="B87" s="24" t="n">
        <v>45047</v>
      </c>
      <c r="C87" s="38" t="n">
        <v>10.511</v>
      </c>
      <c r="D87" s="38" t="n">
        <v>322.19</v>
      </c>
      <c r="E87" s="23" t="n">
        <f aca="false">C87/C86-1</f>
        <v>-0.00303518922507828</v>
      </c>
      <c r="F87" s="23" t="n">
        <f aca="false">D87/D86-1</f>
        <v>-0.00114707341269837</v>
      </c>
      <c r="G87" s="23" t="n">
        <f aca="false">E87-$K$7*F87</f>
        <v>0.000410974722766059</v>
      </c>
    </row>
    <row r="88" customFormat="false" ht="15" hidden="false" customHeight="false" outlineLevel="0" collapsed="false">
      <c r="B88" s="24" t="n">
        <v>45048</v>
      </c>
      <c r="C88" s="38" t="n">
        <v>10.443</v>
      </c>
      <c r="D88" s="38" t="n">
        <v>319.38</v>
      </c>
      <c r="E88" s="23" t="n">
        <f aca="false">C88/C87-1</f>
        <v>-0.00646941299590897</v>
      </c>
      <c r="F88" s="23" t="n">
        <f aca="false">D88/D87-1</f>
        <v>-0.00872156181135353</v>
      </c>
      <c r="G88" s="23" t="n">
        <f aca="false">E88-$K$7*F88</f>
        <v>0.0197328610263604</v>
      </c>
    </row>
    <row r="89" customFormat="false" ht="15" hidden="false" customHeight="false" outlineLevel="0" collapsed="false">
      <c r="B89" s="24" t="n">
        <v>45049</v>
      </c>
      <c r="C89" s="38" t="n">
        <v>13.395</v>
      </c>
      <c r="D89" s="38" t="n">
        <v>317.29</v>
      </c>
      <c r="E89" s="23" t="n">
        <f aca="false">C89/C88-1</f>
        <v>0.282677391554151</v>
      </c>
      <c r="F89" s="23" t="n">
        <f aca="false">D89/D88-1</f>
        <v>-0.00654392886217037</v>
      </c>
      <c r="G89" s="23" t="n">
        <f aca="false">E89-$K$7*F89</f>
        <v>0.302337381466235</v>
      </c>
    </row>
    <row r="90" customFormat="false" ht="15" hidden="false" customHeight="false" outlineLevel="0" collapsed="false">
      <c r="B90" s="24" t="n">
        <v>45050</v>
      </c>
      <c r="C90" s="38" t="n">
        <v>13.64</v>
      </c>
      <c r="D90" s="38" t="n">
        <v>316.17</v>
      </c>
      <c r="E90" s="23" t="n">
        <f aca="false">C90/C89-1</f>
        <v>0.0182904068682346</v>
      </c>
      <c r="F90" s="23" t="n">
        <f aca="false">D90/D89-1</f>
        <v>-0.00352989378801727</v>
      </c>
      <c r="G90" s="23" t="n">
        <f aca="false">E90-$K$7*F90</f>
        <v>0.0288953015308777</v>
      </c>
    </row>
    <row r="91" customFormat="false" ht="15" hidden="false" customHeight="false" outlineLevel="0" collapsed="false">
      <c r="B91" s="24" t="n">
        <v>45051</v>
      </c>
      <c r="C91" s="38" t="n">
        <v>13.723</v>
      </c>
      <c r="D91" s="38" t="n">
        <v>322.89</v>
      </c>
      <c r="E91" s="23" t="n">
        <f aca="false">C91/C90-1</f>
        <v>0.00608504398826981</v>
      </c>
      <c r="F91" s="23" t="n">
        <f aca="false">D91/D90-1</f>
        <v>0.0212543884619034</v>
      </c>
      <c r="G91" s="23" t="n">
        <f aca="false">E91-$K$7*F91</f>
        <v>-0.0577697245383464</v>
      </c>
    </row>
    <row r="92" customFormat="false" ht="15" hidden="false" customHeight="false" outlineLevel="0" collapsed="false">
      <c r="B92" s="24" t="n">
        <v>45054</v>
      </c>
      <c r="C92" s="38" t="n">
        <v>13.663</v>
      </c>
      <c r="D92" s="38" t="n">
        <v>323.69</v>
      </c>
      <c r="E92" s="23" t="n">
        <f aca="false">C92/C91-1</f>
        <v>-0.00437222181738695</v>
      </c>
      <c r="F92" s="23" t="n">
        <f aca="false">D92/D91-1</f>
        <v>0.00247762395862372</v>
      </c>
      <c r="G92" s="23" t="n">
        <f aca="false">E92-$K$7*F92</f>
        <v>-0.0118157718709436</v>
      </c>
    </row>
    <row r="93" customFormat="false" ht="15" hidden="false" customHeight="false" outlineLevel="0" collapsed="false">
      <c r="B93" s="24" t="n">
        <v>45055</v>
      </c>
      <c r="C93" s="38" t="n">
        <v>13.225</v>
      </c>
      <c r="D93" s="38" t="n">
        <v>321.64</v>
      </c>
      <c r="E93" s="23" t="n">
        <f aca="false">C93/C92-1</f>
        <v>-0.0320573812486277</v>
      </c>
      <c r="F93" s="23" t="n">
        <f aca="false">D93/D92-1</f>
        <v>-0.00633322005622672</v>
      </c>
      <c r="G93" s="23" t="n">
        <f aca="false">E93-$K$7*F93</f>
        <v>-0.0130304258768774</v>
      </c>
    </row>
    <row r="94" customFormat="false" ht="15" hidden="false" customHeight="false" outlineLevel="0" collapsed="false">
      <c r="B94" s="24" t="n">
        <v>45056</v>
      </c>
      <c r="C94" s="38" t="n">
        <v>13.428</v>
      </c>
      <c r="D94" s="38" t="n">
        <v>325.14</v>
      </c>
      <c r="E94" s="23" t="n">
        <f aca="false">C94/C93-1</f>
        <v>0.0153497164461249</v>
      </c>
      <c r="F94" s="23" t="n">
        <f aca="false">D94/D93-1</f>
        <v>0.0108817311279692</v>
      </c>
      <c r="G94" s="23" t="n">
        <f aca="false">E94-$K$7*F94</f>
        <v>-0.0173423755230608</v>
      </c>
    </row>
    <row r="95" customFormat="false" ht="15" hidden="false" customHeight="false" outlineLevel="0" collapsed="false">
      <c r="B95" s="24" t="n">
        <v>45057</v>
      </c>
      <c r="C95" s="38" t="n">
        <v>13.643</v>
      </c>
      <c r="D95" s="38" t="n">
        <v>326.2</v>
      </c>
      <c r="E95" s="23" t="n">
        <f aca="false">C95/C94-1</f>
        <v>0.0160113196306226</v>
      </c>
      <c r="F95" s="23" t="n">
        <f aca="false">D95/D94-1</f>
        <v>0.00326013409608161</v>
      </c>
      <c r="G95" s="23" t="n">
        <f aca="false">E95-$K$7*F95</f>
        <v>0.00621686666651334</v>
      </c>
    </row>
    <row r="96" customFormat="false" ht="15" hidden="false" customHeight="false" outlineLevel="0" collapsed="false">
      <c r="B96" s="24" t="n">
        <v>45058</v>
      </c>
      <c r="C96" s="38" t="n">
        <v>13.45</v>
      </c>
      <c r="D96" s="38" t="n">
        <v>325.03</v>
      </c>
      <c r="E96" s="23" t="n">
        <f aca="false">C96/C95-1</f>
        <v>-0.0141464487282856</v>
      </c>
      <c r="F96" s="23" t="n">
        <f aca="false">D96/D95-1</f>
        <v>-0.00358675659104846</v>
      </c>
      <c r="G96" s="23" t="n">
        <f aca="false">E96-$K$7*F96</f>
        <v>-0.00337072058662526</v>
      </c>
    </row>
    <row r="97" customFormat="false" ht="15" hidden="false" customHeight="false" outlineLevel="0" collapsed="false">
      <c r="B97" s="24" t="n">
        <v>45061</v>
      </c>
      <c r="C97" s="38" t="n">
        <v>13.784</v>
      </c>
      <c r="D97" s="38" t="n">
        <v>326.79</v>
      </c>
      <c r="E97" s="23" t="n">
        <f aca="false">C97/C96-1</f>
        <v>0.0248327137546469</v>
      </c>
      <c r="F97" s="23" t="n">
        <f aca="false">D97/D96-1</f>
        <v>0.00541488477986651</v>
      </c>
      <c r="G97" s="23" t="n">
        <f aca="false">E97-$K$7*F97</f>
        <v>0.00856472209558657</v>
      </c>
    </row>
    <row r="98" customFormat="false" ht="15" hidden="false" customHeight="false" outlineLevel="0" collapsed="false">
      <c r="B98" s="24" t="n">
        <v>45062</v>
      </c>
      <c r="C98" s="38" t="n">
        <v>14.584</v>
      </c>
      <c r="D98" s="38" t="n">
        <v>327.16</v>
      </c>
      <c r="E98" s="23" t="n">
        <f aca="false">C98/C97-1</f>
        <v>0.0580383052814857</v>
      </c>
      <c r="F98" s="23" t="n">
        <f aca="false">D98/D97-1</f>
        <v>0.0011322255882984</v>
      </c>
      <c r="G98" s="23" t="n">
        <f aca="false">E98-$K$7*F98</f>
        <v>0.0546367487986777</v>
      </c>
    </row>
    <row r="99" customFormat="false" ht="15" hidden="false" customHeight="false" outlineLevel="0" collapsed="false">
      <c r="B99" s="24" t="n">
        <v>45063</v>
      </c>
      <c r="C99" s="38" t="n">
        <v>15.431</v>
      </c>
      <c r="D99" s="38" t="n">
        <v>331.12</v>
      </c>
      <c r="E99" s="23" t="n">
        <f aca="false">C99/C98-1</f>
        <v>0.0580773450356555</v>
      </c>
      <c r="F99" s="23" t="n">
        <f aca="false">D99/D98-1</f>
        <v>0.0121041692138402</v>
      </c>
      <c r="G99" s="23" t="n">
        <f aca="false">E99-$K$7*F99</f>
        <v>0.0217126702889731</v>
      </c>
    </row>
    <row r="100" customFormat="false" ht="15" hidden="false" customHeight="false" outlineLevel="0" collapsed="false">
      <c r="B100" s="24" t="n">
        <v>45064</v>
      </c>
      <c r="C100" s="38" t="n">
        <v>16.456</v>
      </c>
      <c r="D100" s="38" t="n">
        <v>337.27</v>
      </c>
      <c r="E100" s="23" t="n">
        <f aca="false">C100/C99-1</f>
        <v>0.0664247294407363</v>
      </c>
      <c r="F100" s="23" t="n">
        <f aca="false">D100/D99-1</f>
        <v>0.0185733268905532</v>
      </c>
      <c r="G100" s="23" t="n">
        <f aca="false">E100-$K$7*F100</f>
        <v>0.0106247005906358</v>
      </c>
    </row>
    <row r="101" customFormat="false" ht="15" hidden="false" customHeight="false" outlineLevel="0" collapsed="false">
      <c r="B101" s="24" t="n">
        <v>45065</v>
      </c>
      <c r="C101" s="38" t="n">
        <v>16.419</v>
      </c>
      <c r="D101" s="38" t="n">
        <v>336.51</v>
      </c>
      <c r="E101" s="23" t="n">
        <f aca="false">C101/C100-1</f>
        <v>-0.00224842002916859</v>
      </c>
      <c r="F101" s="23" t="n">
        <f aca="false">D101/D100-1</f>
        <v>-0.00225338749369941</v>
      </c>
      <c r="G101" s="23" t="n">
        <f aca="false">E101-$K$7*F101</f>
        <v>0.00452145420498577</v>
      </c>
    </row>
    <row r="102" customFormat="false" ht="15" hidden="false" customHeight="false" outlineLevel="0" collapsed="false">
      <c r="B102" s="24" t="n">
        <v>45068</v>
      </c>
      <c r="C102" s="38" t="n">
        <v>16.481</v>
      </c>
      <c r="D102" s="38" t="n">
        <v>337.64</v>
      </c>
      <c r="E102" s="23" t="n">
        <f aca="false">C102/C101-1</f>
        <v>0.0037761130397711</v>
      </c>
      <c r="F102" s="23" t="n">
        <f aca="false">D102/D101-1</f>
        <v>0.00335799827642558</v>
      </c>
      <c r="G102" s="23" t="n">
        <f aca="false">E102-$K$7*F102</f>
        <v>-0.00631235424491542</v>
      </c>
    </row>
    <row r="103" customFormat="false" ht="15" hidden="false" customHeight="false" outlineLevel="0" collapsed="false">
      <c r="B103" s="24" t="n">
        <v>45069</v>
      </c>
      <c r="C103" s="38" t="n">
        <v>16.191</v>
      </c>
      <c r="D103" s="38" t="n">
        <v>333.36</v>
      </c>
      <c r="E103" s="23" t="n">
        <f aca="false">C103/C102-1</f>
        <v>-0.0175960196590015</v>
      </c>
      <c r="F103" s="23" t="n">
        <f aca="false">D103/D102-1</f>
        <v>-0.0126762231963037</v>
      </c>
      <c r="G103" s="23" t="n">
        <f aca="false">E103-$K$7*F103</f>
        <v>0.0204872824996345</v>
      </c>
    </row>
    <row r="104" customFormat="false" ht="15" hidden="false" customHeight="false" outlineLevel="0" collapsed="false">
      <c r="B104" s="24" t="n">
        <v>45070</v>
      </c>
      <c r="C104" s="38" t="n">
        <v>16.762</v>
      </c>
      <c r="D104" s="38" t="n">
        <v>331.65</v>
      </c>
      <c r="E104" s="23" t="n">
        <f aca="false">C104/C103-1</f>
        <v>0.0352665060836268</v>
      </c>
      <c r="F104" s="23" t="n">
        <f aca="false">D104/D103-1</f>
        <v>-0.0051295896328295</v>
      </c>
      <c r="G104" s="23" t="n">
        <f aca="false">E104-$K$7*F104</f>
        <v>0.0506773827234304</v>
      </c>
    </row>
    <row r="105" customFormat="false" ht="15" hidden="false" customHeight="false" outlineLevel="0" collapsed="false">
      <c r="B105" s="24" t="n">
        <v>45071</v>
      </c>
      <c r="C105" s="38" t="n">
        <v>20.686</v>
      </c>
      <c r="D105" s="38" t="n">
        <v>339.72</v>
      </c>
      <c r="E105" s="23" t="n">
        <f aca="false">C105/C104-1</f>
        <v>0.234100942608281</v>
      </c>
      <c r="F105" s="23" t="n">
        <f aca="false">D105/D104-1</f>
        <v>0.0243328810492991</v>
      </c>
      <c r="G105" s="23" t="n">
        <f aca="false">E105-$K$7*F105</f>
        <v>0.160997428490541</v>
      </c>
    </row>
    <row r="106" customFormat="false" ht="15" hidden="false" customHeight="false" outlineLevel="0" collapsed="false">
      <c r="B106" s="24" t="n">
        <v>45072</v>
      </c>
      <c r="C106" s="38" t="n">
        <v>21.918</v>
      </c>
      <c r="D106" s="38" t="n">
        <v>348.4</v>
      </c>
      <c r="E106" s="23" t="n">
        <f aca="false">C106/C105-1</f>
        <v>0.0595571884366237</v>
      </c>
      <c r="F106" s="23" t="n">
        <f aca="false">D106/D105-1</f>
        <v>0.0255504533144941</v>
      </c>
      <c r="G106" s="23" t="n">
        <f aca="false">E106-$K$7*F106</f>
        <v>-0.017204290025647</v>
      </c>
    </row>
    <row r="107" customFormat="false" ht="15" hidden="false" customHeight="false" outlineLevel="0" collapsed="false">
      <c r="B107" s="24" t="n">
        <v>45076</v>
      </c>
      <c r="C107" s="38" t="n">
        <v>23.599</v>
      </c>
      <c r="D107" s="38" t="n">
        <v>349.98</v>
      </c>
      <c r="E107" s="23" t="n">
        <f aca="false">C107/C106-1</f>
        <v>0.0766949539191533</v>
      </c>
      <c r="F107" s="23" t="n">
        <f aca="false">D107/D106-1</f>
        <v>0.00453501722158456</v>
      </c>
      <c r="G107" s="23" t="n">
        <f aca="false">E107-$K$7*F107</f>
        <v>0.0630703570286076</v>
      </c>
    </row>
    <row r="108" customFormat="false" ht="15" hidden="false" customHeight="false" outlineLevel="0" collapsed="false">
      <c r="B108" s="24" t="n">
        <v>45077</v>
      </c>
      <c r="C108" s="38" t="n">
        <v>22.395</v>
      </c>
      <c r="D108" s="38" t="n">
        <v>347.99</v>
      </c>
      <c r="E108" s="23" t="n">
        <f aca="false">C108/C107-1</f>
        <v>-0.0510191109792788</v>
      </c>
      <c r="F108" s="23" t="n">
        <f aca="false">D108/D107-1</f>
        <v>-0.0056860392022402</v>
      </c>
      <c r="G108" s="23" t="n">
        <f aca="false">E108-$K$7*F108</f>
        <v>-0.0339364874192972</v>
      </c>
    </row>
    <row r="109" customFormat="false" ht="15" hidden="false" customHeight="false" outlineLevel="0" collapsed="false">
      <c r="B109" s="24" t="n">
        <v>45078</v>
      </c>
      <c r="C109" s="38" t="n">
        <v>23.102</v>
      </c>
      <c r="D109" s="38" t="n">
        <v>352.01</v>
      </c>
      <c r="E109" s="23" t="n">
        <f aca="false">C109/C108-1</f>
        <v>0.0315695467738335</v>
      </c>
      <c r="F109" s="23" t="n">
        <f aca="false">D109/D108-1</f>
        <v>0.0115520560935658</v>
      </c>
      <c r="G109" s="23" t="n">
        <f aca="false">E109-$K$7*F109</f>
        <v>-0.00313640908950776</v>
      </c>
    </row>
    <row r="110" customFormat="false" ht="15" hidden="false" customHeight="false" outlineLevel="0" collapsed="false">
      <c r="B110" s="24" t="n">
        <v>45079</v>
      </c>
      <c r="C110" s="38" t="n">
        <v>22.194</v>
      </c>
      <c r="D110" s="38" t="n">
        <v>354.65</v>
      </c>
      <c r="E110" s="23" t="n">
        <f aca="false">C110/C109-1</f>
        <v>-0.0393039563674141</v>
      </c>
      <c r="F110" s="23" t="n">
        <f aca="false">D110/D109-1</f>
        <v>0.00749978693787101</v>
      </c>
      <c r="G110" s="23" t="n">
        <f aca="false">E110-$K$7*F110</f>
        <v>-0.0618356401076955</v>
      </c>
    </row>
    <row r="111" customFormat="false" ht="15" hidden="false" customHeight="false" outlineLevel="0" collapsed="false">
      <c r="B111" s="24" t="n">
        <v>45082</v>
      </c>
      <c r="C111" s="38" t="n">
        <v>22.366</v>
      </c>
      <c r="D111" s="38" t="n">
        <v>354.9</v>
      </c>
      <c r="E111" s="23" t="n">
        <f aca="false">C111/C110-1</f>
        <v>0.00774984229972064</v>
      </c>
      <c r="F111" s="23" t="n">
        <f aca="false">D111/D110-1</f>
        <v>0.000704920344001048</v>
      </c>
      <c r="G111" s="23" t="n">
        <f aca="false">E111-$K$7*F111</f>
        <v>0.00563204316959886</v>
      </c>
    </row>
    <row r="112" customFormat="false" ht="15" hidden="false" customHeight="false" outlineLevel="0" collapsed="false">
      <c r="B112" s="24" t="n">
        <v>45083</v>
      </c>
      <c r="C112" s="38" t="n">
        <v>23.315</v>
      </c>
      <c r="D112" s="38" t="n">
        <v>354.84</v>
      </c>
      <c r="E112" s="23" t="n">
        <f aca="false">C112/C111-1</f>
        <v>0.0424304748278639</v>
      </c>
      <c r="F112" s="23" t="n">
        <f aca="false">D112/D111-1</f>
        <v>-0.000169061707523288</v>
      </c>
      <c r="G112" s="23" t="n">
        <f aca="false">E112-$K$7*F112</f>
        <v>0.0429383885803562</v>
      </c>
    </row>
    <row r="113" customFormat="false" ht="15" hidden="false" customHeight="false" outlineLevel="0" collapsed="false">
      <c r="B113" s="24" t="n">
        <v>45084</v>
      </c>
      <c r="C113" s="38" t="n">
        <v>23.978</v>
      </c>
      <c r="D113" s="38" t="n">
        <v>348.82</v>
      </c>
      <c r="E113" s="23" t="n">
        <f aca="false">C113/C112-1</f>
        <v>0.0284366287797555</v>
      </c>
      <c r="F113" s="23" t="n">
        <f aca="false">D113/D112-1</f>
        <v>-0.0169653928531168</v>
      </c>
      <c r="G113" s="23" t="n">
        <f aca="false">E113-$K$7*F113</f>
        <v>0.0794059255694815</v>
      </c>
    </row>
    <row r="114" customFormat="false" ht="15" hidden="false" customHeight="false" outlineLevel="0" collapsed="false">
      <c r="B114" s="24" t="n">
        <v>45085</v>
      </c>
      <c r="C114" s="38" t="n">
        <v>25.435</v>
      </c>
      <c r="D114" s="38" t="n">
        <v>353.15</v>
      </c>
      <c r="E114" s="23" t="n">
        <f aca="false">C114/C113-1</f>
        <v>0.0607640336975559</v>
      </c>
      <c r="F114" s="23" t="n">
        <f aca="false">D114/D113-1</f>
        <v>0.0124132790550999</v>
      </c>
      <c r="G114" s="23" t="n">
        <f aca="false">E114-$K$7*F114</f>
        <v>0.023470697211284</v>
      </c>
    </row>
    <row r="115" customFormat="false" ht="15" hidden="false" customHeight="false" outlineLevel="0" collapsed="false">
      <c r="B115" s="24" t="n">
        <v>45086</v>
      </c>
      <c r="C115" s="38" t="n">
        <v>26.166</v>
      </c>
      <c r="D115" s="38" t="n">
        <v>354.5</v>
      </c>
      <c r="E115" s="23" t="n">
        <f aca="false">C115/C114-1</f>
        <v>0.0287399252997838</v>
      </c>
      <c r="F115" s="23" t="n">
        <f aca="false">D115/D114-1</f>
        <v>0.00382273821322388</v>
      </c>
      <c r="G115" s="23" t="n">
        <f aca="false">E115-$K$7*F115</f>
        <v>0.0172552352471488</v>
      </c>
    </row>
    <row r="116" customFormat="false" ht="15" hidden="false" customHeight="false" outlineLevel="0" collapsed="false">
      <c r="B116" s="24" t="n">
        <v>45089</v>
      </c>
      <c r="C116" s="38" t="n">
        <v>25.865</v>
      </c>
      <c r="D116" s="38" t="n">
        <v>360.49</v>
      </c>
      <c r="E116" s="23" t="n">
        <f aca="false">C116/C115-1</f>
        <v>-0.0115034777956127</v>
      </c>
      <c r="F116" s="23" t="n">
        <f aca="false">D116/D115-1</f>
        <v>0.0168970380818054</v>
      </c>
      <c r="G116" s="23" t="n">
        <f aca="false">E116-$K$7*F116</f>
        <v>-0.0622674156728674</v>
      </c>
    </row>
    <row r="117" customFormat="false" ht="15" hidden="false" customHeight="false" outlineLevel="0" collapsed="false">
      <c r="B117" s="24" t="n">
        <v>45090</v>
      </c>
      <c r="C117" s="38" t="n">
        <v>24.424</v>
      </c>
      <c r="D117" s="38" t="n">
        <v>363.26</v>
      </c>
      <c r="E117" s="23" t="n">
        <f aca="false">C117/C116-1</f>
        <v>-0.0557123526000386</v>
      </c>
      <c r="F117" s="23" t="n">
        <f aca="false">D117/D116-1</f>
        <v>0.00768398568614925</v>
      </c>
      <c r="G117" s="23" t="n">
        <f aca="false">E117-$K$7*F117</f>
        <v>-0.0787974264533915</v>
      </c>
    </row>
    <row r="118" customFormat="false" ht="15" hidden="false" customHeight="false" outlineLevel="0" collapsed="false">
      <c r="B118" s="24" t="n">
        <v>45091</v>
      </c>
      <c r="C118" s="38" t="n">
        <v>24.777</v>
      </c>
      <c r="D118" s="38" t="n">
        <v>365.9</v>
      </c>
      <c r="E118" s="23" t="n">
        <f aca="false">C118/C117-1</f>
        <v>0.0144529970520799</v>
      </c>
      <c r="F118" s="23" t="n">
        <f aca="false">D118/D117-1</f>
        <v>0.00726752188515101</v>
      </c>
      <c r="G118" s="23" t="n">
        <f aca="false">E118-$K$7*F118</f>
        <v>-0.00738089050343508</v>
      </c>
    </row>
    <row r="119" customFormat="false" ht="15" hidden="false" customHeight="false" outlineLevel="0" collapsed="false">
      <c r="B119" s="24" t="n">
        <v>45092</v>
      </c>
      <c r="C119" s="38" t="n">
        <v>24.392</v>
      </c>
      <c r="D119" s="38" t="n">
        <v>370.26</v>
      </c>
      <c r="E119" s="23" t="n">
        <f aca="false">C119/C118-1</f>
        <v>-0.0155386043508092</v>
      </c>
      <c r="F119" s="23" t="n">
        <f aca="false">D119/D118-1</f>
        <v>0.0119158239956272</v>
      </c>
      <c r="G119" s="23" t="n">
        <f aca="false">E119-$K$7*F119</f>
        <v>-0.051337431703969</v>
      </c>
    </row>
    <row r="120" customFormat="false" ht="15" hidden="false" customHeight="false" outlineLevel="0" collapsed="false">
      <c r="B120" s="24" t="n">
        <v>45093</v>
      </c>
      <c r="C120" s="38" t="n">
        <v>23.077</v>
      </c>
      <c r="D120" s="38" t="n">
        <v>367.93</v>
      </c>
      <c r="E120" s="23" t="n">
        <f aca="false">C120/C119-1</f>
        <v>-0.0539111183994752</v>
      </c>
      <c r="F120" s="23" t="n">
        <f aca="false">D120/D119-1</f>
        <v>-0.00629287527683242</v>
      </c>
      <c r="G120" s="23" t="n">
        <f aca="false">E120-$K$7*F120</f>
        <v>-0.0350053712456935</v>
      </c>
    </row>
    <row r="121" customFormat="false" ht="15" hidden="false" customHeight="false" outlineLevel="0" collapsed="false">
      <c r="B121" s="24" t="n">
        <v>45097</v>
      </c>
      <c r="C121" s="38" t="n">
        <v>22.24</v>
      </c>
      <c r="D121" s="38" t="n">
        <v>366.9</v>
      </c>
      <c r="E121" s="23" t="n">
        <f aca="false">C121/C120-1</f>
        <v>-0.0362698791004031</v>
      </c>
      <c r="F121" s="23" t="n">
        <f aca="false">D121/D120-1</f>
        <v>-0.0027994455467073</v>
      </c>
      <c r="G121" s="23" t="n">
        <f aca="false">E121-$K$7*F121</f>
        <v>-0.0278594772811144</v>
      </c>
    </row>
    <row r="122" customFormat="false" ht="15" hidden="false" customHeight="false" outlineLevel="0" collapsed="false">
      <c r="B122" s="24" t="n">
        <v>45098</v>
      </c>
      <c r="C122" s="38" t="n">
        <v>21.991</v>
      </c>
      <c r="D122" s="38" t="n">
        <v>361.9</v>
      </c>
      <c r="E122" s="23" t="n">
        <f aca="false">C122/C121-1</f>
        <v>-0.0111960431654675</v>
      </c>
      <c r="F122" s="23" t="n">
        <f aca="false">D122/D121-1</f>
        <v>-0.0136276914690652</v>
      </c>
      <c r="G122" s="23" t="n">
        <f aca="false">E122-$K$7*F122</f>
        <v>0.029745764493174</v>
      </c>
    </row>
    <row r="123" customFormat="false" ht="15" hidden="false" customHeight="false" outlineLevel="0" collapsed="false">
      <c r="B123" s="24" t="n">
        <v>45099</v>
      </c>
      <c r="C123" s="38" t="n">
        <v>22.646</v>
      </c>
      <c r="D123" s="38" t="n">
        <v>366.17</v>
      </c>
      <c r="E123" s="23" t="n">
        <f aca="false">C123/C122-1</f>
        <v>0.0297849120094584</v>
      </c>
      <c r="F123" s="23" t="n">
        <f aca="false">D123/D122-1</f>
        <v>0.0117988394584141</v>
      </c>
      <c r="G123" s="23" t="n">
        <f aca="false">E123-$K$7*F123</f>
        <v>-0.00566245754672337</v>
      </c>
    </row>
    <row r="124" customFormat="false" ht="15" hidden="false" customHeight="false" outlineLevel="0" collapsed="false">
      <c r="B124" s="24" t="n">
        <v>45100</v>
      </c>
      <c r="C124" s="38" t="n">
        <v>21.606</v>
      </c>
      <c r="D124" s="38" t="n">
        <v>362.54</v>
      </c>
      <c r="E124" s="23" t="n">
        <f aca="false">C124/C123-1</f>
        <v>-0.0459242250287026</v>
      </c>
      <c r="F124" s="23" t="n">
        <f aca="false">D124/D123-1</f>
        <v>-0.00991342818909247</v>
      </c>
      <c r="G124" s="23" t="n">
        <f aca="false">E124-$K$7*F124</f>
        <v>-0.0161412151126864</v>
      </c>
    </row>
    <row r="125" customFormat="false" ht="15" hidden="false" customHeight="false" outlineLevel="0" collapsed="false">
      <c r="B125" s="24" t="n">
        <v>45103</v>
      </c>
      <c r="C125" s="38" t="n">
        <v>21.65</v>
      </c>
      <c r="D125" s="38" t="n">
        <v>357.68</v>
      </c>
      <c r="E125" s="23" t="n">
        <f aca="false">C125/C124-1</f>
        <v>0.00203647135055074</v>
      </c>
      <c r="F125" s="23" t="n">
        <f aca="false">D125/D124-1</f>
        <v>-0.0134054173332598</v>
      </c>
      <c r="G125" s="23" t="n">
        <f aca="false">E125-$K$7*F125</f>
        <v>0.0423104986344831</v>
      </c>
    </row>
    <row r="126" customFormat="false" ht="15" hidden="false" customHeight="false" outlineLevel="0" collapsed="false">
      <c r="B126" s="24" t="n">
        <v>45104</v>
      </c>
      <c r="C126" s="38" t="n">
        <v>22.617</v>
      </c>
      <c r="D126" s="38" t="n">
        <v>363.83</v>
      </c>
      <c r="E126" s="23" t="n">
        <f aca="false">C126/C125-1</f>
        <v>0.0446651270207854</v>
      </c>
      <c r="F126" s="23" t="n">
        <f aca="false">D126/D125-1</f>
        <v>0.0171941400134197</v>
      </c>
      <c r="G126" s="23" t="n">
        <f aca="false">E126-$K$7*F126</f>
        <v>-0.00699139711488096</v>
      </c>
    </row>
    <row r="127" customFormat="false" ht="15" hidden="false" customHeight="false" outlineLevel="0" collapsed="false">
      <c r="B127" s="24" t="n">
        <v>45105</v>
      </c>
      <c r="C127" s="38" t="n">
        <v>23.594</v>
      </c>
      <c r="D127" s="38" t="n">
        <v>364.54</v>
      </c>
      <c r="E127" s="23" t="n">
        <f aca="false">C127/C126-1</f>
        <v>0.0431975947296281</v>
      </c>
      <c r="F127" s="23" t="n">
        <f aca="false">D127/D126-1</f>
        <v>0.00195146084709896</v>
      </c>
      <c r="G127" s="23" t="n">
        <f aca="false">E127-$K$7*F127</f>
        <v>0.0373348016926226</v>
      </c>
    </row>
    <row r="128" customFormat="false" ht="15" hidden="false" customHeight="false" outlineLevel="0" collapsed="false">
      <c r="B128" s="24" t="n">
        <v>45106</v>
      </c>
      <c r="C128" s="38" t="n">
        <v>23.593</v>
      </c>
      <c r="D128" s="38" t="n">
        <v>363.81</v>
      </c>
      <c r="E128" s="23" t="n">
        <f aca="false">C128/C127-1</f>
        <v>-4.23836568619329E-005</v>
      </c>
      <c r="F128" s="23" t="n">
        <f aca="false">D128/D127-1</f>
        <v>-0.0020025237285346</v>
      </c>
      <c r="G128" s="23" t="n">
        <f aca="false">E128-$K$7*F128</f>
        <v>0.00597381809760538</v>
      </c>
    </row>
    <row r="129" customFormat="false" ht="15" hidden="false" customHeight="false" outlineLevel="0" collapsed="false">
      <c r="B129" s="24" t="n">
        <v>45107</v>
      </c>
      <c r="C129" s="38" t="n">
        <v>24.925</v>
      </c>
      <c r="D129" s="38" t="n">
        <v>369.42</v>
      </c>
      <c r="E129" s="23" t="n">
        <f aca="false">C129/C128-1</f>
        <v>0.0564574238121478</v>
      </c>
      <c r="F129" s="23" t="n">
        <f aca="false">D129/D128-1</f>
        <v>0.0154201368846376</v>
      </c>
      <c r="G129" s="23" t="n">
        <f aca="false">E129-$K$7*F129</f>
        <v>0.0101305547431004</v>
      </c>
    </row>
    <row r="130" customFormat="false" ht="15" hidden="false" customHeight="false" outlineLevel="0" collapsed="false">
      <c r="B130" s="24" t="n">
        <v>45110</v>
      </c>
      <c r="C130" s="38" t="n">
        <v>24.92</v>
      </c>
      <c r="D130" s="38" t="n">
        <v>370.29</v>
      </c>
      <c r="E130" s="23" t="n">
        <f aca="false">C130/C129-1</f>
        <v>-0.000200601805416256</v>
      </c>
      <c r="F130" s="23" t="n">
        <f aca="false">D130/D129-1</f>
        <v>0.00235504304044176</v>
      </c>
      <c r="G130" s="23" t="n">
        <f aca="false">E130-$K$7*F130</f>
        <v>-0.00727588079954827</v>
      </c>
    </row>
    <row r="131" customFormat="false" ht="15" hidden="false" customHeight="false" outlineLevel="0" collapsed="false">
      <c r="B131" s="24" t="n">
        <v>45112</v>
      </c>
      <c r="C131" s="38" t="n">
        <v>25.5</v>
      </c>
      <c r="D131" s="38" t="n">
        <v>370.28</v>
      </c>
      <c r="E131" s="23" t="n">
        <f aca="false">C131/C130-1</f>
        <v>0.023274478330658</v>
      </c>
      <c r="F131" s="23" t="n">
        <f aca="false">D131/D130-1</f>
        <v>-2.70058602718226E-005</v>
      </c>
      <c r="G131" s="23" t="n">
        <f aca="false">E131-$K$7*F131</f>
        <v>0.0233556123025721</v>
      </c>
    </row>
    <row r="132" customFormat="false" ht="15" hidden="false" customHeight="false" outlineLevel="0" collapsed="false">
      <c r="B132" s="24" t="n">
        <v>45113</v>
      </c>
      <c r="C132" s="38" t="n">
        <v>25.053</v>
      </c>
      <c r="D132" s="38" t="n">
        <v>367.46</v>
      </c>
      <c r="E132" s="23" t="n">
        <f aca="false">C132/C131-1</f>
        <v>-0.0175294117647059</v>
      </c>
      <c r="F132" s="23" t="n">
        <f aca="false">D132/D131-1</f>
        <v>-0.00761585826941769</v>
      </c>
      <c r="G132" s="23" t="n">
        <f aca="false">E132-$K$7*F132</f>
        <v>0.00535098621977842</v>
      </c>
    </row>
    <row r="133" customFormat="false" ht="15" hidden="false" customHeight="false" outlineLevel="0" collapsed="false">
      <c r="B133" s="24" t="n">
        <v>45114</v>
      </c>
      <c r="C133" s="38" t="n">
        <v>26.001</v>
      </c>
      <c r="D133" s="38" t="n">
        <v>366.24</v>
      </c>
      <c r="E133" s="23" t="n">
        <f aca="false">C133/C132-1</f>
        <v>0.0378397796671057</v>
      </c>
      <c r="F133" s="23" t="n">
        <f aca="false">D133/D132-1</f>
        <v>-0.00332008926141614</v>
      </c>
      <c r="G133" s="23" t="n">
        <f aca="false">E133-$K$7*F133</f>
        <v>0.0478143565247476</v>
      </c>
    </row>
    <row r="134" customFormat="false" ht="15" hidden="false" customHeight="false" outlineLevel="0" collapsed="false">
      <c r="B134" s="24" t="n">
        <v>45117</v>
      </c>
      <c r="C134" s="38" t="n">
        <v>26.993</v>
      </c>
      <c r="D134" s="38" t="n">
        <v>366.36</v>
      </c>
      <c r="E134" s="23" t="n">
        <f aca="false">C134/C133-1</f>
        <v>0.0381523787546632</v>
      </c>
      <c r="F134" s="23" t="n">
        <f aca="false">D134/D133-1</f>
        <v>0.000327653997378885</v>
      </c>
      <c r="G134" s="23" t="n">
        <f aca="false">E134-$K$7*F134</f>
        <v>0.0371680046242594</v>
      </c>
    </row>
    <row r="135" customFormat="false" ht="15" hidden="false" customHeight="false" outlineLevel="0" collapsed="false">
      <c r="B135" s="24" t="n">
        <v>45118</v>
      </c>
      <c r="C135" s="38" t="n">
        <v>27.095</v>
      </c>
      <c r="D135" s="38" t="n">
        <v>368.17</v>
      </c>
      <c r="E135" s="23" t="n">
        <f aca="false">C135/C134-1</f>
        <v>0.00377875745563672</v>
      </c>
      <c r="F135" s="23" t="n">
        <f aca="false">D135/D134-1</f>
        <v>0.00494049568730204</v>
      </c>
      <c r="G135" s="23" t="n">
        <f aca="false">E135-$K$7*F135</f>
        <v>-0.0110640223818014</v>
      </c>
    </row>
    <row r="136" customFormat="false" ht="15" hidden="false" customHeight="false" outlineLevel="0" collapsed="false">
      <c r="B136" s="24" t="n">
        <v>45119</v>
      </c>
      <c r="C136" s="38" t="n">
        <v>27.664</v>
      </c>
      <c r="D136" s="38" t="n">
        <v>372.82</v>
      </c>
      <c r="E136" s="23" t="n">
        <f aca="false">C136/C135-1</f>
        <v>0.0210001845358923</v>
      </c>
      <c r="F136" s="23" t="n">
        <f aca="false">D136/D135-1</f>
        <v>0.0126300350381616</v>
      </c>
      <c r="G136" s="23" t="n">
        <f aca="false">E136-$K$7*F136</f>
        <v>-0.0169443540844694</v>
      </c>
    </row>
    <row r="137" customFormat="false" ht="15" hidden="false" customHeight="false" outlineLevel="0" collapsed="false">
      <c r="B137" s="24" t="n">
        <v>45120</v>
      </c>
      <c r="C137" s="38" t="n">
        <v>29.405</v>
      </c>
      <c r="D137" s="38" t="n">
        <v>379.15</v>
      </c>
      <c r="E137" s="23" t="n">
        <f aca="false">C137/C136-1</f>
        <v>0.0629337767495661</v>
      </c>
      <c r="F137" s="23" t="n">
        <f aca="false">D137/D136-1</f>
        <v>0.0169787028592887</v>
      </c>
      <c r="G137" s="23" t="n">
        <f aca="false">E137-$K$7*F137</f>
        <v>0.0119244925772477</v>
      </c>
    </row>
    <row r="138" customFormat="false" ht="15" hidden="false" customHeight="false" outlineLevel="0" collapsed="false">
      <c r="B138" s="24" t="n">
        <v>45121</v>
      </c>
      <c r="C138" s="38" t="n">
        <v>29.538</v>
      </c>
      <c r="D138" s="38" t="n">
        <v>379.07</v>
      </c>
      <c r="E138" s="23" t="n">
        <f aca="false">C138/C137-1</f>
        <v>0.00452304029926887</v>
      </c>
      <c r="F138" s="23" t="n">
        <f aca="false">D138/D137-1</f>
        <v>-0.000210998285638864</v>
      </c>
      <c r="G138" s="23" t="n">
        <f aca="false">E138-$K$7*F138</f>
        <v>0.00515694452630095</v>
      </c>
    </row>
    <row r="139" customFormat="false" ht="15" hidden="false" customHeight="false" outlineLevel="0" collapsed="false">
      <c r="B139" s="24" t="n">
        <v>45124</v>
      </c>
      <c r="C139" s="38" t="n">
        <v>30.205</v>
      </c>
      <c r="D139" s="38" t="n">
        <v>382.61</v>
      </c>
      <c r="E139" s="23" t="n">
        <f aca="false">C139/C138-1</f>
        <v>0.0225810819960728</v>
      </c>
      <c r="F139" s="23" t="n">
        <f aca="false">D139/D138-1</f>
        <v>0.00933864457751876</v>
      </c>
      <c r="G139" s="23" t="n">
        <f aca="false">E139-$K$7*F139</f>
        <v>-0.00547509985637827</v>
      </c>
    </row>
    <row r="140" customFormat="false" ht="15" hidden="false" customHeight="false" outlineLevel="0" collapsed="false">
      <c r="B140" s="24" t="n">
        <v>45125</v>
      </c>
      <c r="C140" s="38" t="n">
        <v>31.84</v>
      </c>
      <c r="D140" s="38" t="n">
        <v>385.74</v>
      </c>
      <c r="E140" s="23" t="n">
        <f aca="false">C140/C139-1</f>
        <v>0.0541301109087899</v>
      </c>
      <c r="F140" s="23" t="n">
        <f aca="false">D140/D139-1</f>
        <v>0.00818065392958878</v>
      </c>
      <c r="G140" s="23" t="n">
        <f aca="false">E140-$K$7*F140</f>
        <v>0.0295528917614806</v>
      </c>
    </row>
    <row r="141" customFormat="false" ht="15" hidden="false" customHeight="false" outlineLevel="0" collapsed="false">
      <c r="B141" s="24" t="n">
        <v>45126</v>
      </c>
      <c r="C141" s="38" t="n">
        <v>30.367</v>
      </c>
      <c r="D141" s="38" t="n">
        <v>385.65</v>
      </c>
      <c r="E141" s="23" t="n">
        <f aca="false">C141/C140-1</f>
        <v>-0.0462625628140704</v>
      </c>
      <c r="F141" s="23" t="n">
        <f aca="false">D141/D140-1</f>
        <v>-0.000233317778814857</v>
      </c>
      <c r="G141" s="23" t="n">
        <f aca="false">E141-$K$7*F141</f>
        <v>-0.0455616039139321</v>
      </c>
    </row>
    <row r="142" customFormat="false" ht="15" hidden="false" customHeight="false" outlineLevel="0" collapsed="false">
      <c r="B142" s="24" t="n">
        <v>45127</v>
      </c>
      <c r="C142" s="38" t="n">
        <v>30.295</v>
      </c>
      <c r="D142" s="38" t="n">
        <v>376.76</v>
      </c>
      <c r="E142" s="23" t="n">
        <f aca="false">C142/C141-1</f>
        <v>-0.00237099482991399</v>
      </c>
      <c r="F142" s="23" t="n">
        <f aca="false">D142/D141-1</f>
        <v>-0.0230519901465058</v>
      </c>
      <c r="G142" s="23" t="n">
        <f aca="false">E142-$K$7*F142</f>
        <v>0.0668843261369234</v>
      </c>
    </row>
    <row r="143" customFormat="false" ht="15" hidden="false" customHeight="false" outlineLevel="0" collapsed="false">
      <c r="B143" s="24" t="n">
        <v>45128</v>
      </c>
      <c r="C143" s="38" t="n">
        <v>30.315</v>
      </c>
      <c r="D143" s="38" t="n">
        <v>375.63</v>
      </c>
      <c r="E143" s="23" t="n">
        <f aca="false">C143/C142-1</f>
        <v>0.000660174946360836</v>
      </c>
      <c r="F143" s="23" t="n">
        <f aca="false">D143/D142-1</f>
        <v>-0.00299925682131863</v>
      </c>
      <c r="G143" s="23" t="n">
        <f aca="false">E143-$K$7*F143</f>
        <v>0.00967087174530438</v>
      </c>
    </row>
    <row r="144" customFormat="false" ht="15" hidden="false" customHeight="false" outlineLevel="0" collapsed="false">
      <c r="B144" s="24" t="n">
        <v>45131</v>
      </c>
      <c r="C144" s="38" t="n">
        <v>30.937</v>
      </c>
      <c r="D144" s="38" t="n">
        <v>376.23</v>
      </c>
      <c r="E144" s="23" t="n">
        <f aca="false">C144/C143-1</f>
        <v>0.0205178954313046</v>
      </c>
      <c r="F144" s="23" t="n">
        <f aca="false">D144/D143-1</f>
        <v>0.00159731650826611</v>
      </c>
      <c r="G144" s="23" t="n">
        <f aca="false">E144-$K$7*F144</f>
        <v>0.0157190617183565</v>
      </c>
    </row>
    <row r="145" customFormat="false" ht="15" hidden="false" customHeight="false" outlineLevel="0" collapsed="false">
      <c r="B145" s="24" t="n">
        <v>45132</v>
      </c>
      <c r="C145" s="38" t="n">
        <v>32.135</v>
      </c>
      <c r="D145" s="38" t="n">
        <v>378.78</v>
      </c>
      <c r="E145" s="23" t="n">
        <f aca="false">C145/C144-1</f>
        <v>0.0387238581633647</v>
      </c>
      <c r="F145" s="23" t="n">
        <f aca="false">D145/D144-1</f>
        <v>0.0067777689179489</v>
      </c>
      <c r="G145" s="23" t="n">
        <f aca="false">E145-$K$7*F145</f>
        <v>0.0183613402693183</v>
      </c>
    </row>
    <row r="146" customFormat="false" ht="15" hidden="false" customHeight="false" outlineLevel="0" collapsed="false">
      <c r="B146" s="24" t="n">
        <v>45133</v>
      </c>
      <c r="C146" s="38" t="n">
        <v>31.736</v>
      </c>
      <c r="D146" s="38" t="n">
        <v>377.52</v>
      </c>
      <c r="E146" s="23" t="n">
        <f aca="false">C146/C145-1</f>
        <v>-0.0124163684456204</v>
      </c>
      <c r="F146" s="23" t="n">
        <f aca="false">D146/D145-1</f>
        <v>-0.00332646919055912</v>
      </c>
      <c r="G146" s="23" t="n">
        <f aca="false">E146-$K$7*F146</f>
        <v>-0.00242262430403761</v>
      </c>
    </row>
    <row r="147" customFormat="false" ht="15" hidden="false" customHeight="false" outlineLevel="0" collapsed="false">
      <c r="B147" s="24" t="n">
        <v>45134</v>
      </c>
      <c r="C147" s="38" t="n">
        <v>32.734</v>
      </c>
      <c r="D147" s="38" t="n">
        <v>376.62</v>
      </c>
      <c r="E147" s="23" t="n">
        <f aca="false">C147/C146-1</f>
        <v>0.0314469372321649</v>
      </c>
      <c r="F147" s="23" t="n">
        <f aca="false">D147/D146-1</f>
        <v>-0.00238397965670689</v>
      </c>
      <c r="G147" s="23" t="n">
        <f aca="false">E147-$K$7*F147</f>
        <v>0.0386091507874519</v>
      </c>
    </row>
    <row r="148" customFormat="false" ht="15" hidden="false" customHeight="false" outlineLevel="0" collapsed="false">
      <c r="B148" s="24" t="n">
        <v>45135</v>
      </c>
      <c r="C148" s="38" t="n">
        <v>33.45</v>
      </c>
      <c r="D148" s="38" t="n">
        <v>383.48</v>
      </c>
      <c r="E148" s="23" t="n">
        <f aca="false">C148/C147-1</f>
        <v>0.0218732816032265</v>
      </c>
      <c r="F148" s="23" t="n">
        <f aca="false">D148/D147-1</f>
        <v>0.018214646062344</v>
      </c>
      <c r="G148" s="23" t="n">
        <f aca="false">E148-$K$7*F148</f>
        <v>-0.0328491589031167</v>
      </c>
    </row>
    <row r="149" customFormat="false" ht="15" hidden="false" customHeight="false" outlineLevel="0" collapsed="false">
      <c r="B149" s="24" t="n">
        <v>45138</v>
      </c>
      <c r="C149" s="38" t="n">
        <v>33.027</v>
      </c>
      <c r="D149" s="38" t="n">
        <v>383.68</v>
      </c>
      <c r="E149" s="23" t="n">
        <f aca="false">C149/C148-1</f>
        <v>-0.0126457399103139</v>
      </c>
      <c r="F149" s="23" t="n">
        <f aca="false">D149/D148-1</f>
        <v>0.000521539584854569</v>
      </c>
      <c r="G149" s="23" t="n">
        <f aca="false">E149-$K$7*F149</f>
        <v>-0.0142126064201666</v>
      </c>
    </row>
    <row r="150" customFormat="false" ht="15" hidden="false" customHeight="false" outlineLevel="0" collapsed="false">
      <c r="B150" s="24" t="n">
        <v>45139</v>
      </c>
      <c r="C150" s="38" t="n">
        <v>33.756</v>
      </c>
      <c r="D150" s="38" t="n">
        <v>382.79</v>
      </c>
      <c r="E150" s="23" t="n">
        <f aca="false">C150/C149-1</f>
        <v>0.0220728494867835</v>
      </c>
      <c r="F150" s="23" t="n">
        <f aca="false">D150/D149-1</f>
        <v>-0.00231964136780649</v>
      </c>
      <c r="G150" s="23" t="n">
        <f aca="false">E150-$K$7*F150</f>
        <v>0.0290417708872528</v>
      </c>
    </row>
    <row r="151" customFormat="false" ht="15" hidden="false" customHeight="false" outlineLevel="0" collapsed="false">
      <c r="B151" s="24" t="n">
        <v>45140</v>
      </c>
      <c r="C151" s="38" t="n">
        <v>31.961</v>
      </c>
      <c r="D151" s="38" t="n">
        <v>374.39</v>
      </c>
      <c r="E151" s="23" t="n">
        <f aca="false">C151/C150-1</f>
        <v>-0.053175731721768</v>
      </c>
      <c r="F151" s="23" t="n">
        <f aca="false">D151/D150-1</f>
        <v>-0.0219441469212885</v>
      </c>
      <c r="G151" s="23" t="n">
        <f aca="false">E151-$K$7*F151</f>
        <v>0.0127512849357345</v>
      </c>
    </row>
    <row r="152" customFormat="false" ht="15" hidden="false" customHeight="false" outlineLevel="0" collapsed="false">
      <c r="B152" s="24" t="n">
        <v>45141</v>
      </c>
      <c r="C152" s="38" t="n">
        <v>32.121</v>
      </c>
      <c r="D152" s="38" t="n">
        <v>373.79</v>
      </c>
      <c r="E152" s="23" t="n">
        <f aca="false">C152/C151-1</f>
        <v>0.00500610118582023</v>
      </c>
      <c r="F152" s="23" t="n">
        <f aca="false">D152/D151-1</f>
        <v>-0.00160260690723568</v>
      </c>
      <c r="G152" s="23" t="n">
        <f aca="false">E152-$K$7*F152</f>
        <v>0.00982082889648175</v>
      </c>
    </row>
    <row r="153" customFormat="false" ht="15" hidden="false" customHeight="false" outlineLevel="0" collapsed="false">
      <c r="B153" s="24" t="n">
        <v>45142</v>
      </c>
      <c r="C153" s="38" t="n">
        <v>33.809</v>
      </c>
      <c r="D153" s="38" t="n">
        <v>372.04</v>
      </c>
      <c r="E153" s="23" t="n">
        <f aca="false">C153/C152-1</f>
        <v>0.0525512904330498</v>
      </c>
      <c r="F153" s="23" t="n">
        <f aca="false">D153/D152-1</f>
        <v>-0.00468177318815377</v>
      </c>
      <c r="G153" s="23" t="n">
        <f aca="false">E153-$K$7*F153</f>
        <v>0.0666167877189174</v>
      </c>
    </row>
    <row r="154" customFormat="false" ht="15" hidden="false" customHeight="false" outlineLevel="0" collapsed="false">
      <c r="B154" s="24" t="n">
        <v>45145</v>
      </c>
      <c r="C154" s="38" t="n">
        <v>35.329</v>
      </c>
      <c r="D154" s="38" t="n">
        <v>375.19</v>
      </c>
      <c r="E154" s="23" t="n">
        <f aca="false">C154/C153-1</f>
        <v>0.0449584430181313</v>
      </c>
      <c r="F154" s="23" t="n">
        <f aca="false">D154/D153-1</f>
        <v>0.00846683152349215</v>
      </c>
      <c r="G154" s="23" t="n">
        <f aca="false">E154-$K$7*F154</f>
        <v>0.019521457707756</v>
      </c>
    </row>
    <row r="155" customFormat="false" ht="15" hidden="false" customHeight="false" outlineLevel="0" collapsed="false">
      <c r="B155" s="24" t="n">
        <v>45146</v>
      </c>
      <c r="C155" s="38" t="n">
        <v>34.74</v>
      </c>
      <c r="D155" s="38" t="n">
        <v>372</v>
      </c>
      <c r="E155" s="23" t="n">
        <f aca="false">C155/C154-1</f>
        <v>-0.0166718559823378</v>
      </c>
      <c r="F155" s="23" t="n">
        <f aca="false">D155/D154-1</f>
        <v>-0.00850235880487216</v>
      </c>
      <c r="G155" s="23" t="n">
        <f aca="false">E155-$K$7*F155</f>
        <v>0.0088718642892888</v>
      </c>
    </row>
    <row r="156" customFormat="false" ht="15" hidden="false" customHeight="false" outlineLevel="0" collapsed="false">
      <c r="B156" s="24" t="n">
        <v>45147</v>
      </c>
      <c r="C156" s="38" t="n">
        <v>26.613</v>
      </c>
      <c r="D156" s="38" t="n">
        <v>367.91</v>
      </c>
      <c r="E156" s="23" t="n">
        <f aca="false">C156/C155-1</f>
        <v>-0.233937823834197</v>
      </c>
      <c r="F156" s="23" t="n">
        <f aca="false">D156/D155-1</f>
        <v>-0.0109946236559139</v>
      </c>
      <c r="G156" s="23" t="n">
        <f aca="false">E156-$K$7*F156</f>
        <v>-0.200906567731768</v>
      </c>
    </row>
    <row r="157" customFormat="false" ht="15" hidden="false" customHeight="false" outlineLevel="0" collapsed="false">
      <c r="B157" s="24" t="n">
        <v>45148</v>
      </c>
      <c r="C157" s="38" t="n">
        <v>27.712</v>
      </c>
      <c r="D157" s="38" t="n">
        <v>368.59</v>
      </c>
      <c r="E157" s="23" t="n">
        <f aca="false">C157/C156-1</f>
        <v>0.0412956074099125</v>
      </c>
      <c r="F157" s="23" t="n">
        <f aca="false">D157/D156-1</f>
        <v>0.00184827811149457</v>
      </c>
      <c r="G157" s="23" t="n">
        <f aca="false">E157-$K$7*F157</f>
        <v>0.0357428072814195</v>
      </c>
    </row>
    <row r="158" customFormat="false" ht="15" hidden="false" customHeight="false" outlineLevel="0" collapsed="false">
      <c r="B158" s="24" t="n">
        <v>45149</v>
      </c>
      <c r="C158" s="38" t="n">
        <v>25.443</v>
      </c>
      <c r="D158" s="38" t="n">
        <v>366.24</v>
      </c>
      <c r="E158" s="23" t="n">
        <f aca="false">C158/C157-1</f>
        <v>-0.0818778868360277</v>
      </c>
      <c r="F158" s="23" t="n">
        <f aca="false">D158/D157-1</f>
        <v>-0.00637564773867971</v>
      </c>
      <c r="G158" s="23" t="n">
        <f aca="false">E158-$K$7*F158</f>
        <v>-0.0627234655601413</v>
      </c>
    </row>
    <row r="159" customFormat="false" ht="15" hidden="false" customHeight="false" outlineLevel="0" collapsed="false">
      <c r="B159" s="24" t="n">
        <v>45152</v>
      </c>
      <c r="C159" s="38" t="n">
        <v>26.946</v>
      </c>
      <c r="D159" s="38" t="n">
        <v>370.35</v>
      </c>
      <c r="E159" s="23" t="n">
        <f aca="false">C159/C158-1</f>
        <v>0.0590732224973469</v>
      </c>
      <c r="F159" s="23" t="n">
        <f aca="false">D159/D158-1</f>
        <v>0.0112221494102229</v>
      </c>
      <c r="G159" s="23" t="n">
        <f aca="false">E159-$K$7*F159</f>
        <v>0.0253584085310309</v>
      </c>
    </row>
    <row r="160" customFormat="false" ht="15" hidden="false" customHeight="false" outlineLevel="0" collapsed="false">
      <c r="B160" s="24" t="n">
        <v>45153</v>
      </c>
      <c r="C160" s="38" t="n">
        <v>26.422</v>
      </c>
      <c r="D160" s="38" t="n">
        <v>366.42</v>
      </c>
      <c r="E160" s="23" t="n">
        <f aca="false">C160/C159-1</f>
        <v>-0.0194463000074223</v>
      </c>
      <c r="F160" s="23" t="n">
        <f aca="false">D160/D159-1</f>
        <v>-0.0106115836371</v>
      </c>
      <c r="G160" s="23" t="n">
        <f aca="false">E160-$K$7*F160</f>
        <v>0.0124341851950754</v>
      </c>
    </row>
    <row r="161" customFormat="false" ht="15" hidden="false" customHeight="false" outlineLevel="0" collapsed="false">
      <c r="B161" s="24" t="n">
        <v>45154</v>
      </c>
      <c r="C161" s="38" t="n">
        <v>25.373</v>
      </c>
      <c r="D161" s="38" t="n">
        <v>362.54</v>
      </c>
      <c r="E161" s="23" t="n">
        <f aca="false">C161/C160-1</f>
        <v>-0.0397017636817804</v>
      </c>
      <c r="F161" s="23" t="n">
        <f aca="false">D161/D160-1</f>
        <v>-0.0105889416516566</v>
      </c>
      <c r="G161" s="23" t="n">
        <f aca="false">E161-$K$7*F161</f>
        <v>-0.00788930201908318</v>
      </c>
    </row>
    <row r="162" customFormat="false" ht="15" hidden="false" customHeight="false" outlineLevel="0" collapsed="false">
      <c r="B162" s="24" t="n">
        <v>45155</v>
      </c>
      <c r="C162" s="38" t="n">
        <v>24.406</v>
      </c>
      <c r="D162" s="38" t="n">
        <v>358.58</v>
      </c>
      <c r="E162" s="23" t="n">
        <f aca="false">C162/C161-1</f>
        <v>-0.0381113782367084</v>
      </c>
      <c r="F162" s="23" t="n">
        <f aca="false">D162/D161-1</f>
        <v>-0.0109229326419155</v>
      </c>
      <c r="G162" s="23" t="n">
        <f aca="false">E162-$K$7*F162</f>
        <v>-0.00529550415350416</v>
      </c>
    </row>
    <row r="163" customFormat="false" ht="15" hidden="false" customHeight="false" outlineLevel="0" collapsed="false">
      <c r="B163" s="24" t="n">
        <v>45156</v>
      </c>
      <c r="C163" s="38" t="n">
        <v>24.355</v>
      </c>
      <c r="D163" s="38" t="n">
        <v>358.13</v>
      </c>
      <c r="E163" s="23" t="n">
        <f aca="false">C163/C162-1</f>
        <v>-0.00208965008604434</v>
      </c>
      <c r="F163" s="23" t="n">
        <f aca="false">D163/D162-1</f>
        <v>-0.00125495008087451</v>
      </c>
      <c r="G163" s="23" t="n">
        <f aca="false">E163-$K$7*F163</f>
        <v>0.00168060879815428</v>
      </c>
    </row>
    <row r="164" customFormat="false" ht="15" hidden="false" customHeight="false" outlineLevel="0" collapsed="false">
      <c r="B164" s="24" t="n">
        <v>45159</v>
      </c>
      <c r="C164" s="38" t="n">
        <v>25.264</v>
      </c>
      <c r="D164" s="38" t="n">
        <v>363.9</v>
      </c>
      <c r="E164" s="23" t="n">
        <f aca="false">C164/C163-1</f>
        <v>0.0373229316362143</v>
      </c>
      <c r="F164" s="23" t="n">
        <f aca="false">D164/D163-1</f>
        <v>0.0161114679027168</v>
      </c>
      <c r="G164" s="23" t="n">
        <f aca="false">E164-$K$7*F164</f>
        <v>-0.0110809100172874</v>
      </c>
    </row>
    <row r="165" customFormat="false" ht="15" hidden="false" customHeight="false" outlineLevel="0" collapsed="false">
      <c r="B165" s="24" t="n">
        <v>45160</v>
      </c>
      <c r="C165" s="38" t="n">
        <v>25.809</v>
      </c>
      <c r="D165" s="38" t="n">
        <v>363.38</v>
      </c>
      <c r="E165" s="23" t="n">
        <f aca="false">C165/C164-1</f>
        <v>0.0215721975934136</v>
      </c>
      <c r="F165" s="23" t="n">
        <f aca="false">D165/D164-1</f>
        <v>-0.00142896400109915</v>
      </c>
      <c r="G165" s="23" t="n">
        <f aca="false">E165-$K$7*F165</f>
        <v>0.0258652482114826</v>
      </c>
    </row>
    <row r="166" customFormat="false" ht="15" hidden="false" customHeight="false" outlineLevel="0" collapsed="false">
      <c r="B166" s="24" t="n">
        <v>45161</v>
      </c>
      <c r="C166" s="38" t="n">
        <v>27.761</v>
      </c>
      <c r="D166" s="38" t="n">
        <v>369.11</v>
      </c>
      <c r="E166" s="23" t="n">
        <f aca="false">C166/C165-1</f>
        <v>0.0756325312875352</v>
      </c>
      <c r="F166" s="23" t="n">
        <f aca="false">D166/D165-1</f>
        <v>0.0157686168748969</v>
      </c>
      <c r="G166" s="23" t="n">
        <f aca="false">E166-$K$7*F166</f>
        <v>0.0282587203526209</v>
      </c>
    </row>
    <row r="167" customFormat="false" ht="15" hidden="false" customHeight="false" outlineLevel="0" collapsed="false">
      <c r="B167" s="24" t="n">
        <v>45162</v>
      </c>
      <c r="C167" s="38" t="n">
        <v>26.25</v>
      </c>
      <c r="D167" s="38" t="n">
        <v>361.22</v>
      </c>
      <c r="E167" s="23" t="n">
        <f aca="false">C167/C166-1</f>
        <v>-0.0544288750405244</v>
      </c>
      <c r="F167" s="23" t="n">
        <f aca="false">D167/D166-1</f>
        <v>-0.0213757416488309</v>
      </c>
      <c r="G167" s="23" t="n">
        <f aca="false">E167-$K$7*F167</f>
        <v>0.00979047606042051</v>
      </c>
    </row>
    <row r="168" customFormat="false" ht="15" hidden="false" customHeight="false" outlineLevel="0" collapsed="false">
      <c r="B168" s="24" t="n">
        <v>45163</v>
      </c>
      <c r="C168" s="38" t="n">
        <v>25.396</v>
      </c>
      <c r="D168" s="38" t="n">
        <v>364.02</v>
      </c>
      <c r="E168" s="23" t="n">
        <f aca="false">C168/C167-1</f>
        <v>-0.0325333333333333</v>
      </c>
      <c r="F168" s="23" t="n">
        <f aca="false">D168/D167-1</f>
        <v>0.0077515087758151</v>
      </c>
      <c r="G168" s="23" t="n">
        <f aca="false">E168-$K$7*F168</f>
        <v>-0.0558212674698011</v>
      </c>
    </row>
    <row r="169" customFormat="false" ht="15" hidden="false" customHeight="false" outlineLevel="0" collapsed="false">
      <c r="B169" s="24" t="n">
        <v>45166</v>
      </c>
      <c r="C169" s="38" t="n">
        <v>25.516</v>
      </c>
      <c r="D169" s="38" t="n">
        <v>366.76</v>
      </c>
      <c r="E169" s="23" t="n">
        <f aca="false">C169/C168-1</f>
        <v>0.00472515356749081</v>
      </c>
      <c r="F169" s="23" t="n">
        <f aca="false">D169/D168-1</f>
        <v>0.00752705895280492</v>
      </c>
      <c r="G169" s="23" t="n">
        <f aca="false">E169-$K$7*F169</f>
        <v>-0.0178884637557765</v>
      </c>
    </row>
    <row r="170" customFormat="false" ht="15" hidden="false" customHeight="false" outlineLevel="0" collapsed="false">
      <c r="B170" s="24" t="n">
        <v>45167</v>
      </c>
      <c r="C170" s="38" t="n">
        <v>26.163</v>
      </c>
      <c r="D170" s="38" t="n">
        <v>374.77</v>
      </c>
      <c r="E170" s="23" t="n">
        <f aca="false">C170/C169-1</f>
        <v>0.0253566389716258</v>
      </c>
      <c r="F170" s="23" t="n">
        <f aca="false">D170/D169-1</f>
        <v>0.0218398952993784</v>
      </c>
      <c r="G170" s="23" t="n">
        <f aca="false">E170-$K$7*F170</f>
        <v>-0.0402571735117115</v>
      </c>
    </row>
    <row r="171" customFormat="false" ht="15" hidden="false" customHeight="false" outlineLevel="0" collapsed="false">
      <c r="B171" s="24" t="n">
        <v>45168</v>
      </c>
      <c r="C171" s="38" t="n">
        <v>26.792</v>
      </c>
      <c r="D171" s="38" t="n">
        <v>376.86</v>
      </c>
      <c r="E171" s="23" t="n">
        <f aca="false">C171/C170-1</f>
        <v>0.0240415854450942</v>
      </c>
      <c r="F171" s="23" t="n">
        <f aca="false">D171/D170-1</f>
        <v>0.00557675374229527</v>
      </c>
      <c r="G171" s="23" t="n">
        <f aca="false">E171-$K$7*F171</f>
        <v>0.00728728926844874</v>
      </c>
    </row>
    <row r="172" customFormat="false" ht="15" hidden="false" customHeight="false" outlineLevel="0" collapsed="false">
      <c r="B172" s="24" t="n">
        <v>45169</v>
      </c>
      <c r="C172" s="38" t="n">
        <v>27.508</v>
      </c>
      <c r="D172" s="38" t="n">
        <v>377.99</v>
      </c>
      <c r="E172" s="23" t="n">
        <f aca="false">C172/C171-1</f>
        <v>0.026724395341893</v>
      </c>
      <c r="F172" s="23" t="n">
        <f aca="false">D172/D171-1</f>
        <v>0.00299846096693734</v>
      </c>
      <c r="G172" s="23" t="n">
        <f aca="false">E172-$K$7*F172</f>
        <v>0.0177160895361031</v>
      </c>
    </row>
    <row r="173" customFormat="false" ht="15" hidden="false" customHeight="false" outlineLevel="0" collapsed="false">
      <c r="B173" s="24" t="n">
        <v>45170</v>
      </c>
      <c r="C173" s="38" t="n">
        <v>28.216</v>
      </c>
      <c r="D173" s="38" t="n">
        <v>377.59</v>
      </c>
      <c r="E173" s="23" t="n">
        <f aca="false">C173/C172-1</f>
        <v>0.025737967136833</v>
      </c>
      <c r="F173" s="23" t="n">
        <f aca="false">D173/D172-1</f>
        <v>-0.00105822905367881</v>
      </c>
      <c r="G173" s="23" t="n">
        <f aca="false">E173-$K$7*F173</f>
        <v>0.028917215102114</v>
      </c>
    </row>
    <row r="174" customFormat="false" ht="15" hidden="false" customHeight="false" outlineLevel="0" collapsed="false">
      <c r="B174" s="24" t="n">
        <v>45174</v>
      </c>
      <c r="C174" s="38" t="n">
        <v>28.028</v>
      </c>
      <c r="D174" s="38" t="n">
        <v>378.07</v>
      </c>
      <c r="E174" s="23" t="n">
        <f aca="false">C174/C173-1</f>
        <v>-0.00666288630564227</v>
      </c>
      <c r="F174" s="23" t="n">
        <f aca="false">D174/D173-1</f>
        <v>0.00127122010646463</v>
      </c>
      <c r="G174" s="23" t="n">
        <f aca="false">E174-$K$7*F174</f>
        <v>-0.0104820253879158</v>
      </c>
    </row>
    <row r="175" customFormat="false" ht="15" hidden="false" customHeight="false" outlineLevel="0" collapsed="false">
      <c r="B175" s="24" t="n">
        <v>45175</v>
      </c>
      <c r="C175" s="38" t="n">
        <v>27.403</v>
      </c>
      <c r="D175" s="38" t="n">
        <v>374.74</v>
      </c>
      <c r="E175" s="23" t="n">
        <f aca="false">C175/C174-1</f>
        <v>-0.0222991294419865</v>
      </c>
      <c r="F175" s="23" t="n">
        <f aca="false">D175/D174-1</f>
        <v>-0.00880789271827964</v>
      </c>
      <c r="G175" s="23" t="n">
        <f aca="false">E175-$K$7*F175</f>
        <v>0.00416250937397435</v>
      </c>
    </row>
    <row r="176" customFormat="false" ht="15" hidden="false" customHeight="false" outlineLevel="0" collapsed="false">
      <c r="B176" s="24" t="n">
        <v>45176</v>
      </c>
      <c r="C176" s="38" t="n">
        <v>26.748</v>
      </c>
      <c r="D176" s="38" t="n">
        <v>372.06</v>
      </c>
      <c r="E176" s="23" t="n">
        <f aca="false">C176/C175-1</f>
        <v>-0.0239024924278363</v>
      </c>
      <c r="F176" s="23" t="n">
        <f aca="false">D176/D175-1</f>
        <v>-0.0071516251267546</v>
      </c>
      <c r="G176" s="23" t="n">
        <f aca="false">E176-$K$7*F176</f>
        <v>-0.00241679464469003</v>
      </c>
    </row>
    <row r="177" customFormat="false" ht="15" hidden="false" customHeight="false" outlineLevel="0" collapsed="false">
      <c r="B177" s="24" t="n">
        <v>45177</v>
      </c>
      <c r="C177" s="38" t="n">
        <v>28.066</v>
      </c>
      <c r="D177" s="38" t="n">
        <v>372.58</v>
      </c>
      <c r="E177" s="23" t="n">
        <f aca="false">C177/C176-1</f>
        <v>0.0492747121280095</v>
      </c>
      <c r="F177" s="23" t="n">
        <f aca="false">D177/D176-1</f>
        <v>0.00139762403913335</v>
      </c>
      <c r="G177" s="23" t="n">
        <f aca="false">E177-$K$7*F177</f>
        <v>0.0450758164662473</v>
      </c>
    </row>
    <row r="178" customFormat="false" ht="15" hidden="false" customHeight="false" outlineLevel="0" collapsed="false">
      <c r="B178" s="24" t="n">
        <v>45180</v>
      </c>
      <c r="C178" s="38" t="n">
        <v>27.732</v>
      </c>
      <c r="D178" s="38" t="n">
        <v>376.97</v>
      </c>
      <c r="E178" s="23" t="n">
        <f aca="false">C178/C177-1</f>
        <v>-0.0119005202023801</v>
      </c>
      <c r="F178" s="23" t="n">
        <f aca="false">D178/D177-1</f>
        <v>0.0117827043856353</v>
      </c>
      <c r="G178" s="23" t="n">
        <f aca="false">E178-$K$7*F178</f>
        <v>-0.0472994150005469</v>
      </c>
    </row>
    <row r="179" customFormat="false" ht="15" hidden="false" customHeight="false" outlineLevel="0" collapsed="false">
      <c r="B179" s="24" t="n">
        <v>45181</v>
      </c>
      <c r="C179" s="38" t="n">
        <v>26.768</v>
      </c>
      <c r="D179" s="38" t="n">
        <v>372.79</v>
      </c>
      <c r="E179" s="23" t="n">
        <f aca="false">C179/C178-1</f>
        <v>-0.0347612866003173</v>
      </c>
      <c r="F179" s="23" t="n">
        <f aca="false">D179/D178-1</f>
        <v>-0.0110884155237817</v>
      </c>
      <c r="G179" s="23" t="n">
        <f aca="false">E179-$K$7*F179</f>
        <v>-0.00144825066577932</v>
      </c>
    </row>
    <row r="180" customFormat="false" ht="15" hidden="false" customHeight="false" outlineLevel="0" collapsed="false">
      <c r="B180" s="24" t="n">
        <v>45182</v>
      </c>
      <c r="C180" s="38" t="n">
        <v>27.096</v>
      </c>
      <c r="D180" s="38" t="n">
        <v>374.21</v>
      </c>
      <c r="E180" s="23" t="n">
        <f aca="false">C180/C179-1</f>
        <v>0.0122534369396294</v>
      </c>
      <c r="F180" s="23" t="n">
        <f aca="false">D180/D179-1</f>
        <v>0.00380911505136927</v>
      </c>
      <c r="G180" s="23" t="n">
        <f aca="false">E180-$K$7*F180</f>
        <v>0.000809675086287822</v>
      </c>
    </row>
    <row r="181" customFormat="false" ht="15" hidden="false" customHeight="false" outlineLevel="0" collapsed="false">
      <c r="B181" s="24" t="n">
        <v>45183</v>
      </c>
      <c r="C181" s="38" t="n">
        <v>27.077</v>
      </c>
      <c r="D181" s="38" t="n">
        <v>377.27</v>
      </c>
      <c r="E181" s="23" t="n">
        <f aca="false">C181/C180-1</f>
        <v>-0.000701210510776429</v>
      </c>
      <c r="F181" s="23" t="n">
        <f aca="false">D181/D180-1</f>
        <v>0.00817722669089549</v>
      </c>
      <c r="G181" s="23" t="n">
        <f aca="false">E181-$K$7*F181</f>
        <v>-0.025268133171135</v>
      </c>
    </row>
    <row r="182" customFormat="false" ht="15" hidden="false" customHeight="false" outlineLevel="0" collapsed="false">
      <c r="B182" s="24" t="n">
        <v>45184</v>
      </c>
      <c r="C182" s="38" t="n">
        <v>24.926</v>
      </c>
      <c r="D182" s="38" t="n">
        <v>370.81</v>
      </c>
      <c r="E182" s="23" t="n">
        <f aca="false">C182/C181-1</f>
        <v>-0.0794401152269455</v>
      </c>
      <c r="F182" s="23" t="n">
        <f aca="false">D182/D181-1</f>
        <v>-0.0171230153470988</v>
      </c>
      <c r="G182" s="23" t="n">
        <f aca="false">E182-$K$7*F182</f>
        <v>-0.0279972716265997</v>
      </c>
    </row>
    <row r="183" customFormat="false" ht="15" hidden="false" customHeight="false" outlineLevel="0" collapsed="false">
      <c r="B183" s="24" t="n">
        <v>45187</v>
      </c>
      <c r="C183" s="38" t="n">
        <v>24.43</v>
      </c>
      <c r="D183" s="38" t="n">
        <v>370.66</v>
      </c>
      <c r="E183" s="23" t="n">
        <f aca="false">C183/C182-1</f>
        <v>-0.0198989007462087</v>
      </c>
      <c r="F183" s="23" t="n">
        <f aca="false">D183/D182-1</f>
        <v>-0.000404519834955819</v>
      </c>
      <c r="G183" s="23" t="n">
        <f aca="false">E183-$K$7*F183</f>
        <v>-0.0186835978231522</v>
      </c>
    </row>
    <row r="184" customFormat="false" ht="15" hidden="false" customHeight="false" outlineLevel="0" collapsed="false">
      <c r="B184" s="24" t="n">
        <v>45188</v>
      </c>
      <c r="C184" s="38" t="n">
        <v>24.774</v>
      </c>
      <c r="D184" s="38" t="n">
        <v>369.87</v>
      </c>
      <c r="E184" s="23" t="n">
        <f aca="false">C184/C183-1</f>
        <v>0.0140810478919362</v>
      </c>
      <c r="F184" s="23" t="n">
        <f aca="false">D184/D183-1</f>
        <v>-0.00213133329736148</v>
      </c>
      <c r="G184" s="23" t="n">
        <f aca="false">E184-$K$7*F184</f>
        <v>0.020484233502288</v>
      </c>
    </row>
    <row r="185" customFormat="false" ht="15" hidden="false" customHeight="false" outlineLevel="0" collapsed="false">
      <c r="B185" s="24" t="n">
        <v>45189</v>
      </c>
      <c r="C185" s="38" t="n">
        <v>24.307</v>
      </c>
      <c r="D185" s="38" t="n">
        <v>364.54</v>
      </c>
      <c r="E185" s="23" t="n">
        <f aca="false">C185/C184-1</f>
        <v>-0.0188504076854769</v>
      </c>
      <c r="F185" s="23" t="n">
        <f aca="false">D185/D184-1</f>
        <v>-0.0144104685430015</v>
      </c>
      <c r="G185" s="23" t="n">
        <f aca="false">E185-$K$7*F185</f>
        <v>0.0244431048436078</v>
      </c>
    </row>
    <row r="186" customFormat="false" ht="15" hidden="false" customHeight="false" outlineLevel="0" collapsed="false">
      <c r="B186" s="24" t="n">
        <v>45190</v>
      </c>
      <c r="C186" s="38" t="n">
        <v>23.154</v>
      </c>
      <c r="D186" s="38" t="n">
        <v>357.86</v>
      </c>
      <c r="E186" s="23" t="n">
        <f aca="false">C186/C185-1</f>
        <v>-0.0474348952976509</v>
      </c>
      <c r="F186" s="23" t="n">
        <f aca="false">D186/D185-1</f>
        <v>-0.0183244637076864</v>
      </c>
      <c r="G186" s="23" t="n">
        <f aca="false">E186-$K$7*F186</f>
        <v>0.00761747144185793</v>
      </c>
    </row>
    <row r="187" customFormat="false" ht="15" hidden="false" customHeight="false" outlineLevel="0" collapsed="false">
      <c r="B187" s="24" t="n">
        <v>45191</v>
      </c>
      <c r="C187" s="38" t="n">
        <v>23.575</v>
      </c>
      <c r="D187" s="38" t="n">
        <v>357.91</v>
      </c>
      <c r="E187" s="23" t="n">
        <f aca="false">C187/C186-1</f>
        <v>0.0181826034378509</v>
      </c>
      <c r="F187" s="23" t="n">
        <f aca="false">D187/D186-1</f>
        <v>0.000139719443357667</v>
      </c>
      <c r="G187" s="23" t="n">
        <f aca="false">E187-$K$7*F187</f>
        <v>0.0177628429384951</v>
      </c>
    </row>
    <row r="188" customFormat="false" ht="15" hidden="false" customHeight="false" outlineLevel="0" collapsed="false">
      <c r="B188" s="24" t="n">
        <v>45194</v>
      </c>
      <c r="C188" s="38" t="n">
        <v>24.886</v>
      </c>
      <c r="D188" s="38" t="n">
        <v>359.61</v>
      </c>
      <c r="E188" s="23" t="n">
        <f aca="false">C188/C187-1</f>
        <v>0.055609756097561</v>
      </c>
      <c r="F188" s="23" t="n">
        <f aca="false">D188/D187-1</f>
        <v>0.00474979743510939</v>
      </c>
      <c r="G188" s="23" t="n">
        <f aca="false">E188-$K$7*F188</f>
        <v>0.0413398928967986</v>
      </c>
    </row>
    <row r="189" customFormat="false" ht="15" hidden="false" customHeight="false" outlineLevel="0" collapsed="false">
      <c r="B189" s="24" t="n">
        <v>45195</v>
      </c>
      <c r="C189" s="38" t="n">
        <v>24.921</v>
      </c>
      <c r="D189" s="38" t="n">
        <v>354.21</v>
      </c>
      <c r="E189" s="23" t="n">
        <f aca="false">C189/C188-1</f>
        <v>0.0014064132443945</v>
      </c>
      <c r="F189" s="23" t="n">
        <f aca="false">D189/D188-1</f>
        <v>-0.0150162676232586</v>
      </c>
      <c r="G189" s="23" t="n">
        <f aca="false">E189-$K$7*F189</f>
        <v>0.0465199339149877</v>
      </c>
    </row>
    <row r="190" customFormat="false" ht="15" hidden="false" customHeight="false" outlineLevel="0" collapsed="false">
      <c r="B190" s="24" t="n">
        <v>45196</v>
      </c>
      <c r="C190" s="38" t="n">
        <v>25.754</v>
      </c>
      <c r="D190" s="38" t="n">
        <v>355.04</v>
      </c>
      <c r="E190" s="23" t="n">
        <f aca="false">C190/C189-1</f>
        <v>0.0334256249749207</v>
      </c>
      <c r="F190" s="23" t="n">
        <f aca="false">D190/D189-1</f>
        <v>0.00234324270912745</v>
      </c>
      <c r="G190" s="23" t="n">
        <f aca="false">E190-$K$7*F190</f>
        <v>0.0263857978323423</v>
      </c>
    </row>
    <row r="191" customFormat="false" ht="15" hidden="false" customHeight="false" outlineLevel="0" collapsed="false">
      <c r="B191" s="24" t="n">
        <v>45197</v>
      </c>
      <c r="C191" s="38" t="n">
        <v>26.938</v>
      </c>
      <c r="D191" s="38" t="n">
        <v>358.01</v>
      </c>
      <c r="E191" s="23" t="n">
        <f aca="false">C191/C190-1</f>
        <v>0.0459734410188708</v>
      </c>
      <c r="F191" s="23" t="n">
        <f aca="false">D191/D190-1</f>
        <v>0.00836525461919768</v>
      </c>
      <c r="G191" s="23" t="n">
        <f aca="false">E191-$K$7*F191</f>
        <v>0.0208416242021926</v>
      </c>
    </row>
    <row r="192" customFormat="false" ht="15" hidden="false" customHeight="false" outlineLevel="0" collapsed="false">
      <c r="B192" s="24" t="n">
        <v>45198</v>
      </c>
      <c r="C192" s="38" t="n">
        <v>27.422</v>
      </c>
      <c r="D192" s="38" t="n">
        <v>358.27</v>
      </c>
      <c r="E192" s="23" t="n">
        <f aca="false">C192/C191-1</f>
        <v>0.0179671839037792</v>
      </c>
      <c r="F192" s="23" t="n">
        <f aca="false">D192/D191-1</f>
        <v>0.000726236697298877</v>
      </c>
      <c r="G192" s="23" t="n">
        <f aca="false">E192-$K$7*F192</f>
        <v>0.0157853438435641</v>
      </c>
    </row>
    <row r="193" customFormat="false" ht="15" hidden="false" customHeight="false" outlineLevel="0" collapsed="false">
      <c r="B193" s="24" t="n">
        <v>45201</v>
      </c>
      <c r="C193" s="38" t="n">
        <v>28.886</v>
      </c>
      <c r="D193" s="38" t="n">
        <v>361.26</v>
      </c>
      <c r="E193" s="23" t="n">
        <f aca="false">C193/C192-1</f>
        <v>0.053387790824885</v>
      </c>
      <c r="F193" s="23" t="n">
        <f aca="false">D193/D192-1</f>
        <v>0.00834566109358859</v>
      </c>
      <c r="G193" s="23" t="n">
        <f aca="false">E193-$K$7*F193</f>
        <v>0.0283148390301119</v>
      </c>
    </row>
    <row r="194" customFormat="false" ht="15" hidden="false" customHeight="false" outlineLevel="0" collapsed="false">
      <c r="B194" s="24" t="n">
        <v>45202</v>
      </c>
      <c r="C194" s="38" t="n">
        <v>26.997</v>
      </c>
      <c r="D194" s="38" t="n">
        <v>354.92</v>
      </c>
      <c r="E194" s="23" t="n">
        <f aca="false">C194/C193-1</f>
        <v>-0.0653950010385653</v>
      </c>
      <c r="F194" s="23" t="n">
        <f aca="false">D194/D193-1</f>
        <v>-0.0175496872058905</v>
      </c>
      <c r="G194" s="23" t="n">
        <f aca="false">E194-$K$7*F194</f>
        <v>-0.0126703029718445</v>
      </c>
    </row>
    <row r="195" customFormat="false" ht="15" hidden="false" customHeight="false" outlineLevel="0" collapsed="false">
      <c r="B195" s="24" t="n">
        <v>45203</v>
      </c>
      <c r="C195" s="38" t="n">
        <v>28.04</v>
      </c>
      <c r="D195" s="38" t="n">
        <v>359.75</v>
      </c>
      <c r="E195" s="23" t="n">
        <f aca="false">C195/C194-1</f>
        <v>0.0386339222876615</v>
      </c>
      <c r="F195" s="23" t="n">
        <f aca="false">D195/D194-1</f>
        <v>0.0136087005522372</v>
      </c>
      <c r="G195" s="23" t="n">
        <f aca="false">E195-$K$7*F195</f>
        <v>-0.00225083077256923</v>
      </c>
    </row>
    <row r="196" customFormat="false" ht="15" hidden="false" customHeight="false" outlineLevel="0" collapsed="false">
      <c r="B196" s="24" t="n">
        <v>45204</v>
      </c>
      <c r="C196" s="38" t="n">
        <v>28.76</v>
      </c>
      <c r="D196" s="38" t="n">
        <v>358.69</v>
      </c>
      <c r="E196" s="23" t="n">
        <f aca="false">C196/C195-1</f>
        <v>0.0256776034236805</v>
      </c>
      <c r="F196" s="23" t="n">
        <f aca="false">D196/D195-1</f>
        <v>-0.00294649061848506</v>
      </c>
      <c r="G196" s="23" t="n">
        <f aca="false">E196-$K$7*F196</f>
        <v>0.0345297741999156</v>
      </c>
    </row>
    <row r="197" customFormat="false" ht="15" hidden="false" customHeight="false" outlineLevel="0" collapsed="false">
      <c r="B197" s="24" t="n">
        <v>45205</v>
      </c>
      <c r="C197" s="38" t="n">
        <v>28.967</v>
      </c>
      <c r="D197" s="38" t="n">
        <v>364.7</v>
      </c>
      <c r="E197" s="23" t="n">
        <f aca="false">C197/C196-1</f>
        <v>0.00719749652294843</v>
      </c>
      <c r="F197" s="23" t="n">
        <f aca="false">D197/D196-1</f>
        <v>0.0167554155398812</v>
      </c>
      <c r="G197" s="23" t="n">
        <f aca="false">E197-$K$7*F197</f>
        <v>-0.0431409633571892</v>
      </c>
    </row>
    <row r="198" customFormat="false" ht="15" hidden="false" customHeight="false" outlineLevel="0" collapsed="false">
      <c r="B198" s="24" t="n">
        <v>45208</v>
      </c>
      <c r="C198" s="38" t="n">
        <v>29</v>
      </c>
      <c r="D198" s="38" t="n">
        <v>366.56</v>
      </c>
      <c r="E198" s="23" t="n">
        <f aca="false">C198/C197-1</f>
        <v>0.00113922739669281</v>
      </c>
      <c r="F198" s="23" t="n">
        <f aca="false">D198/D197-1</f>
        <v>0.0051000822593914</v>
      </c>
      <c r="G198" s="23" t="n">
        <f aca="false">E198-$K$7*F198</f>
        <v>-0.0141829999505613</v>
      </c>
    </row>
    <row r="199" customFormat="false" ht="15" hidden="false" customHeight="false" outlineLevel="0" collapsed="false">
      <c r="B199" s="24" t="n">
        <v>45209</v>
      </c>
      <c r="C199" s="38" t="n">
        <v>31.031</v>
      </c>
      <c r="D199" s="38" t="n">
        <v>368.59</v>
      </c>
      <c r="E199" s="23" t="n">
        <f aca="false">C199/C198-1</f>
        <v>0.0700344827586206</v>
      </c>
      <c r="F199" s="23" t="n">
        <f aca="false">D199/D198-1</f>
        <v>0.00553797468354422</v>
      </c>
      <c r="G199" s="23" t="n">
        <f aca="false">E199-$K$7*F199</f>
        <v>0.0533966908899992</v>
      </c>
    </row>
    <row r="200" customFormat="false" ht="15" hidden="false" customHeight="false" outlineLevel="0" collapsed="false">
      <c r="B200" s="24" t="n">
        <v>45210</v>
      </c>
      <c r="C200" s="38" t="n">
        <v>30.886</v>
      </c>
      <c r="D200" s="38" t="n">
        <v>371.22</v>
      </c>
      <c r="E200" s="23" t="n">
        <f aca="false">C200/C199-1</f>
        <v>-0.00467274660823047</v>
      </c>
      <c r="F200" s="23" t="n">
        <f aca="false">D200/D199-1</f>
        <v>0.00713529938413959</v>
      </c>
      <c r="G200" s="23" t="n">
        <f aca="false">E200-$K$7*F200</f>
        <v>-0.0261093968020953</v>
      </c>
    </row>
    <row r="201" customFormat="false" ht="15" hidden="false" customHeight="false" outlineLevel="0" collapsed="false">
      <c r="B201" s="24" t="n">
        <v>45211</v>
      </c>
      <c r="C201" s="38" t="n">
        <v>29.321</v>
      </c>
      <c r="D201" s="38" t="n">
        <v>369.93</v>
      </c>
      <c r="E201" s="23" t="n">
        <f aca="false">C201/C200-1</f>
        <v>-0.0506702065660817</v>
      </c>
      <c r="F201" s="23" t="n">
        <f aca="false">D201/D200-1</f>
        <v>-0.00347502828511403</v>
      </c>
      <c r="G201" s="23" t="n">
        <f aca="false">E201-$K$7*F201</f>
        <v>-0.040230144874016</v>
      </c>
    </row>
    <row r="202" customFormat="false" ht="15" hidden="false" customHeight="false" outlineLevel="0" collapsed="false">
      <c r="B202" s="24" t="n">
        <v>45212</v>
      </c>
      <c r="C202" s="38" t="n">
        <v>28.52</v>
      </c>
      <c r="D202" s="38" t="n">
        <v>365.28</v>
      </c>
      <c r="E202" s="23" t="n">
        <f aca="false">C202/C201-1</f>
        <v>-0.0273183042870299</v>
      </c>
      <c r="F202" s="23" t="n">
        <f aca="false">D202/D201-1</f>
        <v>-0.0125699456653963</v>
      </c>
      <c r="G202" s="23" t="n">
        <f aca="false">E202-$K$7*F202</f>
        <v>0.0104457072390933</v>
      </c>
    </row>
    <row r="203" customFormat="false" ht="15" hidden="false" customHeight="false" outlineLevel="0" collapsed="false">
      <c r="B203" s="24" t="n">
        <v>45215</v>
      </c>
      <c r="C203" s="38" t="n">
        <v>29.169</v>
      </c>
      <c r="D203" s="38" t="n">
        <v>369.41</v>
      </c>
      <c r="E203" s="23" t="n">
        <f aca="false">C203/C202-1</f>
        <v>0.0227559607293129</v>
      </c>
      <c r="F203" s="23" t="n">
        <f aca="false">D203/D202-1</f>
        <v>0.0113063950941745</v>
      </c>
      <c r="G203" s="23" t="n">
        <f aca="false">E203-$K$7*F203</f>
        <v>-0.0112119533747812</v>
      </c>
    </row>
    <row r="204" customFormat="false" ht="15" hidden="false" customHeight="false" outlineLevel="0" collapsed="false">
      <c r="B204" s="24" t="n">
        <v>45216</v>
      </c>
      <c r="C204" s="38" t="n">
        <v>29.854</v>
      </c>
      <c r="D204" s="38" t="n">
        <v>368.2</v>
      </c>
      <c r="E204" s="23" t="n">
        <f aca="false">C204/C203-1</f>
        <v>0.023483835578868</v>
      </c>
      <c r="F204" s="23" t="n">
        <f aca="false">D204/D203-1</f>
        <v>-0.00327549335426769</v>
      </c>
      <c r="G204" s="23" t="n">
        <f aca="false">E204-$K$7*F204</f>
        <v>0.0333244325135729</v>
      </c>
    </row>
    <row r="205" customFormat="false" ht="15" hidden="false" customHeight="false" outlineLevel="0" collapsed="false">
      <c r="B205" s="24" t="n">
        <v>45217</v>
      </c>
      <c r="C205" s="38" t="n">
        <v>28.503</v>
      </c>
      <c r="D205" s="38" t="n">
        <v>363.37</v>
      </c>
      <c r="E205" s="23" t="n">
        <f aca="false">C205/C204-1</f>
        <v>-0.0452535673611576</v>
      </c>
      <c r="F205" s="23" t="n">
        <f aca="false">D205/D204-1</f>
        <v>-0.0131178707224334</v>
      </c>
      <c r="G205" s="23" t="n">
        <f aca="false">E205-$K$7*F205</f>
        <v>-0.00584341919131243</v>
      </c>
    </row>
    <row r="206" customFormat="false" ht="15" hidden="false" customHeight="false" outlineLevel="0" collapsed="false">
      <c r="B206" s="24" t="n">
        <v>45218</v>
      </c>
      <c r="C206" s="38" t="n">
        <v>26.505</v>
      </c>
      <c r="D206" s="38" t="n">
        <v>359.97</v>
      </c>
      <c r="E206" s="23" t="n">
        <f aca="false">C206/C205-1</f>
        <v>-0.0700978844332176</v>
      </c>
      <c r="F206" s="23" t="n">
        <f aca="false">D206/D205-1</f>
        <v>-0.00935685389547836</v>
      </c>
      <c r="G206" s="23" t="n">
        <f aca="false">E206-$K$7*F206</f>
        <v>-0.0419869961475318</v>
      </c>
    </row>
    <row r="207" customFormat="false" ht="15" hidden="false" customHeight="false" outlineLevel="0" collapsed="false">
      <c r="B207" s="24" t="n">
        <v>45219</v>
      </c>
      <c r="C207" s="38" t="n">
        <v>24.858</v>
      </c>
      <c r="D207" s="38" t="n">
        <v>354.6</v>
      </c>
      <c r="E207" s="23" t="n">
        <f aca="false">C207/C206-1</f>
        <v>-0.0621392190152801</v>
      </c>
      <c r="F207" s="23" t="n">
        <f aca="false">D207/D206-1</f>
        <v>-0.0149179098258189</v>
      </c>
      <c r="G207" s="23" t="n">
        <f aca="false">E207-$K$7*F207</f>
        <v>-0.017321195643965</v>
      </c>
    </row>
    <row r="208" customFormat="false" ht="15" hidden="false" customHeight="false" outlineLevel="0" collapsed="false">
      <c r="B208" s="24" t="n">
        <v>45222</v>
      </c>
      <c r="C208" s="38" t="n">
        <v>25.489</v>
      </c>
      <c r="D208" s="38" t="n">
        <v>355.67</v>
      </c>
      <c r="E208" s="23" t="n">
        <f aca="false">C208/C207-1</f>
        <v>0.0253841821546383</v>
      </c>
      <c r="F208" s="23" t="n">
        <f aca="false">D208/D207-1</f>
        <v>0.00301748448956563</v>
      </c>
      <c r="G208" s="23" t="n">
        <f aca="false">E208-$K$7*F208</f>
        <v>0.0163187237925109</v>
      </c>
    </row>
    <row r="209" customFormat="false" ht="15" hidden="false" customHeight="false" outlineLevel="0" collapsed="false">
      <c r="B209" s="24" t="n">
        <v>45223</v>
      </c>
      <c r="C209" s="38" t="n">
        <v>26.2615</v>
      </c>
      <c r="D209" s="38" t="n">
        <v>359.13</v>
      </c>
      <c r="E209" s="23" t="n">
        <f aca="false">C209/C208-1</f>
        <v>0.0303071913374398</v>
      </c>
      <c r="F209" s="23" t="n">
        <f aca="false">D209/D208-1</f>
        <v>0.00972811876177349</v>
      </c>
      <c r="G209" s="23" t="n">
        <f aca="false">E209-$K$7*F209</f>
        <v>0.00108090835847288</v>
      </c>
    </row>
    <row r="210" customFormat="false" ht="15" hidden="false" customHeight="false" outlineLevel="0" collapsed="false">
      <c r="B210" s="24" t="n">
        <v>45224</v>
      </c>
      <c r="C210" s="38" t="n">
        <v>25.399</v>
      </c>
      <c r="D210" s="38" t="n">
        <v>350.34</v>
      </c>
      <c r="E210" s="23" t="n">
        <f aca="false">C210/C209-1</f>
        <v>-0.0328427546027454</v>
      </c>
      <c r="F210" s="23" t="n">
        <f aca="false">D210/D209-1</f>
        <v>-0.0244758165566787</v>
      </c>
      <c r="G210" s="23" t="n">
        <f aca="false">E210-$K$7*F210</f>
        <v>0.0406901820671566</v>
      </c>
    </row>
    <row r="211" customFormat="false" ht="15" hidden="false" customHeight="false" outlineLevel="0" collapsed="false">
      <c r="B211" s="24" t="n">
        <v>45225</v>
      </c>
      <c r="C211" s="38" t="n">
        <v>23.946</v>
      </c>
      <c r="D211" s="38" t="n">
        <v>343.66</v>
      </c>
      <c r="E211" s="23" t="n">
        <f aca="false">C211/C210-1</f>
        <v>-0.0572069766526241</v>
      </c>
      <c r="F211" s="23" t="n">
        <f aca="false">D211/D210-1</f>
        <v>-0.019067191870754</v>
      </c>
      <c r="G211" s="23" t="n">
        <f aca="false">E211-$K$7*F211</f>
        <v>7.67756200837216E-005</v>
      </c>
    </row>
    <row r="212" customFormat="false" ht="15" hidden="false" customHeight="false" outlineLevel="0" collapsed="false">
      <c r="B212" s="24" t="n">
        <v>45226</v>
      </c>
      <c r="C212" s="38" t="n">
        <v>24.14</v>
      </c>
      <c r="D212" s="38" t="n">
        <v>345.31</v>
      </c>
      <c r="E212" s="23" t="n">
        <f aca="false">C212/C211-1</f>
        <v>0.00810156184749022</v>
      </c>
      <c r="F212" s="23" t="n">
        <f aca="false">D212/D211-1</f>
        <v>0.00480125705639289</v>
      </c>
      <c r="G212" s="23" t="n">
        <f aca="false">E212-$K$7*F212</f>
        <v>-0.00632290200016521</v>
      </c>
    </row>
    <row r="213" customFormat="false" ht="15" hidden="false" customHeight="false" outlineLevel="0" collapsed="false">
      <c r="B213" s="24" t="n">
        <v>45229</v>
      </c>
      <c r="C213" s="38" t="n">
        <v>23.662</v>
      </c>
      <c r="D213" s="38" t="n">
        <v>349.2</v>
      </c>
      <c r="E213" s="23" t="n">
        <f aca="false">C213/C212-1</f>
        <v>-0.0198011599005801</v>
      </c>
      <c r="F213" s="23" t="n">
        <f aca="false">D213/D212-1</f>
        <v>0.0112652399293389</v>
      </c>
      <c r="G213" s="23" t="n">
        <f aca="false">E213-$K$7*F213</f>
        <v>-0.0536454311377451</v>
      </c>
    </row>
    <row r="214" customFormat="false" ht="15" hidden="false" customHeight="false" outlineLevel="0" collapsed="false">
      <c r="B214" s="24" t="n">
        <v>45230</v>
      </c>
      <c r="C214" s="38" t="n">
        <v>23.947</v>
      </c>
      <c r="D214" s="38" t="n">
        <v>350.87</v>
      </c>
      <c r="E214" s="23" t="n">
        <f aca="false">C214/C213-1</f>
        <v>0.0120446285182994</v>
      </c>
      <c r="F214" s="23" t="n">
        <f aca="false">D214/D213-1</f>
        <v>0.00478235967926688</v>
      </c>
      <c r="G214" s="23" t="n">
        <f aca="false">E214-$K$7*F214</f>
        <v>-0.00232306175319299</v>
      </c>
    </row>
    <row r="215" customFormat="false" ht="15" hidden="false" customHeight="false" outlineLevel="0" collapsed="false">
      <c r="B215" s="24" t="n">
        <v>45231</v>
      </c>
      <c r="C215" s="38" t="n">
        <v>25.227</v>
      </c>
      <c r="D215" s="38" t="n">
        <v>356.96</v>
      </c>
      <c r="E215" s="23" t="n">
        <f aca="false">C215/C214-1</f>
        <v>0.0534513717793461</v>
      </c>
      <c r="F215" s="23" t="n">
        <f aca="false">D215/D214-1</f>
        <v>0.0173568558155441</v>
      </c>
      <c r="G215" s="23" t="n">
        <f aca="false">E215-$K$7*F215</f>
        <v>0.0013059989572589</v>
      </c>
    </row>
    <row r="216" customFormat="false" ht="15" hidden="false" customHeight="false" outlineLevel="0" collapsed="false">
      <c r="B216" s="24" t="n">
        <v>45232</v>
      </c>
      <c r="C216" s="38" t="n">
        <v>24.59</v>
      </c>
      <c r="D216" s="38" t="n">
        <v>363.44</v>
      </c>
      <c r="E216" s="23" t="n">
        <f aca="false">C216/C215-1</f>
        <v>-0.0252507234312444</v>
      </c>
      <c r="F216" s="23" t="n">
        <f aca="false">D216/D215-1</f>
        <v>0.0181532944867773</v>
      </c>
      <c r="G216" s="23" t="n">
        <f aca="false">E216-$K$7*F216</f>
        <v>-0.0797888447950453</v>
      </c>
    </row>
    <row r="217" customFormat="false" ht="15" hidden="false" customHeight="false" outlineLevel="0" collapsed="false">
      <c r="B217" s="24" t="n">
        <v>45233</v>
      </c>
      <c r="C217" s="38" t="n">
        <v>25.5</v>
      </c>
      <c r="D217" s="38" t="n">
        <v>367.71</v>
      </c>
      <c r="E217" s="23" t="n">
        <f aca="false">C217/C216-1</f>
        <v>0.0370069133794226</v>
      </c>
      <c r="F217" s="23" t="n">
        <f aca="false">D217/D216-1</f>
        <v>0.011748844375963</v>
      </c>
      <c r="G217" s="23" t="n">
        <f aca="false">E217-$K$7*F217</f>
        <v>0.00170974454169973</v>
      </c>
    </row>
    <row r="218" customFormat="false" ht="15" hidden="false" customHeight="false" outlineLevel="0" collapsed="false">
      <c r="B218" s="24" t="n">
        <v>45236</v>
      </c>
      <c r="C218" s="38" t="n">
        <v>25.259</v>
      </c>
      <c r="D218" s="38" t="n">
        <v>369.21</v>
      </c>
      <c r="E218" s="23" t="n">
        <f aca="false">C218/C217-1</f>
        <v>-0.00945098039215686</v>
      </c>
      <c r="F218" s="23" t="n">
        <f aca="false">D218/D217-1</f>
        <v>0.00407930162356207</v>
      </c>
      <c r="G218" s="23" t="n">
        <f aca="false">E218-$K$7*F218</f>
        <v>-0.0217064664245919</v>
      </c>
    </row>
    <row r="219" customFormat="false" ht="15" hidden="false" customHeight="false" outlineLevel="0" collapsed="false">
      <c r="B219" s="24" t="n">
        <v>45237</v>
      </c>
      <c r="C219" s="38" t="n">
        <v>25.438</v>
      </c>
      <c r="D219" s="38" t="n">
        <v>372.7</v>
      </c>
      <c r="E219" s="23" t="n">
        <f aca="false">C219/C218-1</f>
        <v>0.00708658300011877</v>
      </c>
      <c r="F219" s="23" t="n">
        <f aca="false">D219/D218-1</f>
        <v>0.00945261504292949</v>
      </c>
      <c r="G219" s="23" t="n">
        <f aca="false">E219-$K$7*F219</f>
        <v>-0.0213120014437179</v>
      </c>
    </row>
    <row r="220" customFormat="false" ht="15" hidden="false" customHeight="false" outlineLevel="0" collapsed="false">
      <c r="B220" s="24" t="n">
        <v>45238</v>
      </c>
      <c r="C220" s="38" t="n">
        <v>26.027</v>
      </c>
      <c r="D220" s="38" t="n">
        <v>372.94</v>
      </c>
      <c r="E220" s="23" t="n">
        <f aca="false">C220/C219-1</f>
        <v>0.0231543360327071</v>
      </c>
      <c r="F220" s="23" t="n">
        <f aca="false">D220/D219-1</f>
        <v>0.000643949557284751</v>
      </c>
      <c r="G220" s="23" t="n">
        <f aca="false">E220-$K$7*F220</f>
        <v>0.0212197120374349</v>
      </c>
    </row>
    <row r="221" customFormat="false" ht="15" hidden="false" customHeight="false" outlineLevel="0" collapsed="false">
      <c r="B221" s="24" t="n">
        <v>45239</v>
      </c>
      <c r="C221" s="38" t="n">
        <v>26.488</v>
      </c>
      <c r="D221" s="38" t="n">
        <v>370.07</v>
      </c>
      <c r="E221" s="23" t="n">
        <f aca="false">C221/C220-1</f>
        <v>0.0177123756099435</v>
      </c>
      <c r="F221" s="23" t="n">
        <f aca="false">D221/D220-1</f>
        <v>-0.00769560787258006</v>
      </c>
      <c r="G221" s="23" t="n">
        <f aca="false">E221-$K$7*F221</f>
        <v>0.0408323661124225</v>
      </c>
    </row>
    <row r="222" customFormat="false" ht="15" hidden="false" customHeight="false" outlineLevel="0" collapsed="false">
      <c r="B222" s="24" t="n">
        <v>45240</v>
      </c>
      <c r="C222" s="38" t="n">
        <v>26.603</v>
      </c>
      <c r="D222" s="38" t="n">
        <v>378.39</v>
      </c>
      <c r="E222" s="23" t="n">
        <f aca="false">C222/C221-1</f>
        <v>0.00434158864391421</v>
      </c>
      <c r="F222" s="23" t="n">
        <f aca="false">D222/D221-1</f>
        <v>0.0224822330910368</v>
      </c>
      <c r="G222" s="23" t="n">
        <f aca="false">E222-$K$7*F222</f>
        <v>-0.0632020055913547</v>
      </c>
    </row>
    <row r="223" customFormat="false" ht="15" hidden="false" customHeight="false" outlineLevel="0" collapsed="false">
      <c r="B223" s="24" t="n">
        <v>45243</v>
      </c>
      <c r="C223" s="38" t="n">
        <v>25.58</v>
      </c>
      <c r="D223" s="38" t="n">
        <v>377.21</v>
      </c>
      <c r="E223" s="23" t="n">
        <f aca="false">C223/C222-1</f>
        <v>-0.0384543096643237</v>
      </c>
      <c r="F223" s="23" t="n">
        <f aca="false">D223/D222-1</f>
        <v>-0.00311847564681944</v>
      </c>
      <c r="G223" s="23" t="n">
        <f aca="false">E223-$K$7*F223</f>
        <v>-0.0290854425741006</v>
      </c>
    </row>
    <row r="224" customFormat="false" ht="15" hidden="false" customHeight="false" outlineLevel="0" collapsed="false">
      <c r="B224" s="24" t="n">
        <v>45244</v>
      </c>
      <c r="C224" s="38" t="n">
        <v>29.387</v>
      </c>
      <c r="D224" s="38" t="n">
        <v>385.33</v>
      </c>
      <c r="E224" s="23" t="n">
        <f aca="false">C224/C223-1</f>
        <v>0.148827208756841</v>
      </c>
      <c r="F224" s="23" t="n">
        <f aca="false">D224/D223-1</f>
        <v>0.0215264706662073</v>
      </c>
      <c r="G224" s="23" t="n">
        <f aca="false">E224-$K$7*F224</f>
        <v>0.0841550209849162</v>
      </c>
    </row>
    <row r="225" customFormat="false" ht="15" hidden="false" customHeight="false" outlineLevel="0" collapsed="false">
      <c r="B225" s="24" t="n">
        <v>45245</v>
      </c>
      <c r="C225" s="38" t="n">
        <v>28.778</v>
      </c>
      <c r="D225" s="38" t="n">
        <v>385.62</v>
      </c>
      <c r="E225" s="23" t="n">
        <f aca="false">C225/C224-1</f>
        <v>-0.0207234491441795</v>
      </c>
      <c r="F225" s="23" t="n">
        <f aca="false">D225/D224-1</f>
        <v>0.000752601666104358</v>
      </c>
      <c r="G225" s="23" t="n">
        <f aca="false">E225-$K$7*F225</f>
        <v>-0.0229844977397661</v>
      </c>
    </row>
    <row r="226" customFormat="false" ht="15" hidden="false" customHeight="false" outlineLevel="0" collapsed="false">
      <c r="B226" s="24" t="n">
        <v>45246</v>
      </c>
      <c r="C226" s="38" t="n">
        <v>28.367</v>
      </c>
      <c r="D226" s="38" t="n">
        <v>385.95</v>
      </c>
      <c r="E226" s="23" t="n">
        <f aca="false">C226/C225-1</f>
        <v>-0.0142817429981235</v>
      </c>
      <c r="F226" s="23" t="n">
        <f aca="false">D226/D225-1</f>
        <v>0.000855764742492493</v>
      </c>
      <c r="G226" s="23" t="n">
        <f aca="false">E226-$K$7*F226</f>
        <v>-0.0168527254398457</v>
      </c>
    </row>
    <row r="227" customFormat="false" ht="15" hidden="false" customHeight="false" outlineLevel="0" collapsed="false">
      <c r="B227" s="24" t="n">
        <v>45247</v>
      </c>
      <c r="C227" s="38" t="n">
        <v>28.859</v>
      </c>
      <c r="D227" s="38" t="n">
        <v>386.04</v>
      </c>
      <c r="E227" s="23" t="n">
        <f aca="false">C227/C226-1</f>
        <v>0.0173440970141361</v>
      </c>
      <c r="F227" s="23" t="n">
        <f aca="false">D227/D226-1</f>
        <v>0.000233190827827467</v>
      </c>
      <c r="G227" s="23" t="n">
        <f aca="false">E227-$K$7*F227</f>
        <v>0.0166435195140992</v>
      </c>
    </row>
    <row r="228" customFormat="false" ht="15" hidden="false" customHeight="false" outlineLevel="0" collapsed="false">
      <c r="B228" s="24" t="n">
        <v>45250</v>
      </c>
      <c r="C228" s="38" t="n">
        <v>30.46</v>
      </c>
      <c r="D228" s="38" t="n">
        <v>390.74</v>
      </c>
      <c r="E228" s="23" t="n">
        <f aca="false">C228/C227-1</f>
        <v>0.0554766277417789</v>
      </c>
      <c r="F228" s="23" t="n">
        <f aca="false">D228/D227-1</f>
        <v>0.0121749041550099</v>
      </c>
      <c r="G228" s="23" t="n">
        <f aca="false">E228-$K$7*F228</f>
        <v>0.0188994433148847</v>
      </c>
    </row>
    <row r="229" customFormat="false" ht="15" hidden="false" customHeight="false" outlineLevel="0" collapsed="false">
      <c r="B229" s="24" t="n">
        <v>45251</v>
      </c>
      <c r="C229" s="38" t="n">
        <v>28.985</v>
      </c>
      <c r="D229" s="38" t="n">
        <v>388.47</v>
      </c>
      <c r="E229" s="23" t="n">
        <f aca="false">C229/C228-1</f>
        <v>-0.048424162836507</v>
      </c>
      <c r="F229" s="23" t="n">
        <f aca="false">D229/D228-1</f>
        <v>-0.00580948968623629</v>
      </c>
      <c r="G229" s="23" t="n">
        <f aca="false">E229-$K$7*F229</f>
        <v>-0.0309706557719635</v>
      </c>
    </row>
    <row r="230" customFormat="false" ht="15" hidden="false" customHeight="false" outlineLevel="0" collapsed="false">
      <c r="B230" s="24" t="n">
        <v>45252</v>
      </c>
      <c r="C230" s="38" t="n">
        <v>28.666</v>
      </c>
      <c r="D230" s="38" t="n">
        <v>390.06</v>
      </c>
      <c r="E230" s="23" t="n">
        <f aca="false">C230/C229-1</f>
        <v>-0.0110056925996205</v>
      </c>
      <c r="F230" s="23" t="n">
        <f aca="false">D230/D229-1</f>
        <v>0.00409298015290749</v>
      </c>
      <c r="G230" s="23" t="n">
        <f aca="false">E230-$K$7*F230</f>
        <v>-0.0233022731724466</v>
      </c>
    </row>
    <row r="231" customFormat="false" ht="15" hidden="false" customHeight="false" outlineLevel="0" collapsed="false">
      <c r="B231" s="24" t="n">
        <v>45254</v>
      </c>
      <c r="C231" s="38" t="n">
        <v>28.567</v>
      </c>
      <c r="D231" s="38" t="n">
        <v>389.51</v>
      </c>
      <c r="E231" s="23" t="n">
        <f aca="false">C231/C230-1</f>
        <v>-0.0034535686876439</v>
      </c>
      <c r="F231" s="23" t="n">
        <f aca="false">D231/D230-1</f>
        <v>-0.00141003948110552</v>
      </c>
      <c r="G231" s="23" t="n">
        <f aca="false">E231-$K$7*F231</f>
        <v>0.000782626808677593</v>
      </c>
    </row>
    <row r="232" customFormat="false" ht="15" hidden="false" customHeight="false" outlineLevel="0" collapsed="false">
      <c r="B232" s="24" t="n">
        <v>45257</v>
      </c>
      <c r="C232" s="38" t="n">
        <v>29.037</v>
      </c>
      <c r="D232" s="38" t="n">
        <v>389.17</v>
      </c>
      <c r="E232" s="23" t="n">
        <f aca="false">C232/C231-1</f>
        <v>0.0164525501452726</v>
      </c>
      <c r="F232" s="23" t="n">
        <f aca="false">D232/D231-1</f>
        <v>-0.000872891581730872</v>
      </c>
      <c r="G232" s="23" t="n">
        <f aca="false">E232-$K$7*F232</f>
        <v>0.0190749869187494</v>
      </c>
    </row>
    <row r="233" customFormat="false" ht="15" hidden="false" customHeight="false" outlineLevel="0" collapsed="false">
      <c r="B233" s="24" t="n">
        <v>45258</v>
      </c>
      <c r="C233" s="38" t="n">
        <v>28.561</v>
      </c>
      <c r="D233" s="38" t="n">
        <v>390.19</v>
      </c>
      <c r="E233" s="23" t="n">
        <f aca="false">C233/C232-1</f>
        <v>-0.0163928780521403</v>
      </c>
      <c r="F233" s="23" t="n">
        <f aca="false">D233/D232-1</f>
        <v>0.00262096256134847</v>
      </c>
      <c r="G233" s="23" t="n">
        <f aca="false">E233-$K$7*F233</f>
        <v>-0.0242670616811736</v>
      </c>
    </row>
    <row r="234" customFormat="false" ht="15" hidden="false" customHeight="false" outlineLevel="0" collapsed="false">
      <c r="B234" s="24" t="n">
        <v>45259</v>
      </c>
      <c r="C234" s="38" t="n">
        <v>28.763</v>
      </c>
      <c r="D234" s="38" t="n">
        <v>389.81</v>
      </c>
      <c r="E234" s="23" t="n">
        <f aca="false">C234/C233-1</f>
        <v>0.00707258149224477</v>
      </c>
      <c r="F234" s="23" t="n">
        <f aca="false">D234/D233-1</f>
        <v>-0.000973884517799006</v>
      </c>
      <c r="G234" s="23" t="n">
        <f aca="false">E234-$K$7*F234</f>
        <v>0.00999843233792662</v>
      </c>
    </row>
    <row r="235" customFormat="false" ht="15" hidden="false" customHeight="false" outlineLevel="0" collapsed="false">
      <c r="B235" s="24" t="n">
        <v>45260</v>
      </c>
      <c r="C235" s="38" t="n">
        <v>27.347</v>
      </c>
      <c r="D235" s="38" t="n">
        <v>388.83</v>
      </c>
      <c r="E235" s="23" t="n">
        <f aca="false">C235/C234-1</f>
        <v>-0.0492299134304488</v>
      </c>
      <c r="F235" s="23" t="n">
        <f aca="false">D235/D234-1</f>
        <v>-0.00251404530412258</v>
      </c>
      <c r="G235" s="23" t="n">
        <f aca="false">E235-$K$7*F235</f>
        <v>-0.0416769423700056</v>
      </c>
    </row>
    <row r="236" customFormat="false" ht="15" hidden="false" customHeight="false" outlineLevel="0" collapsed="false">
      <c r="B236" s="24" t="n">
        <v>45261</v>
      </c>
      <c r="C236" s="38" t="n">
        <v>26.963</v>
      </c>
      <c r="D236" s="38" t="n">
        <v>389.94</v>
      </c>
      <c r="E236" s="23" t="n">
        <f aca="false">C236/C235-1</f>
        <v>-0.0140417596080009</v>
      </c>
      <c r="F236" s="23" t="n">
        <f aca="false">D236/D235-1</f>
        <v>0.00285471800015436</v>
      </c>
      <c r="G236" s="23" t="n">
        <f aca="false">E236-$K$7*F236</f>
        <v>-0.0226182170033927</v>
      </c>
    </row>
    <row r="237" customFormat="false" ht="15" hidden="false" customHeight="false" outlineLevel="0" collapsed="false">
      <c r="B237" s="24" t="n">
        <v>45264</v>
      </c>
      <c r="C237" s="38" t="n">
        <v>26.635</v>
      </c>
      <c r="D237" s="38" t="n">
        <v>386.32</v>
      </c>
      <c r="E237" s="23" t="n">
        <f aca="false">C237/C236-1</f>
        <v>-0.0121648184549197</v>
      </c>
      <c r="F237" s="23" t="n">
        <f aca="false">D237/D236-1</f>
        <v>-0.00928347950966812</v>
      </c>
      <c r="G237" s="23" t="n">
        <f aca="false">E237-$K$7*F237</f>
        <v>0.0157256304410329</v>
      </c>
    </row>
    <row r="238" customFormat="false" ht="15" hidden="false" customHeight="false" outlineLevel="0" collapsed="false">
      <c r="B238" s="24" t="n">
        <v>45265</v>
      </c>
      <c r="C238" s="38" t="n">
        <v>26.296</v>
      </c>
      <c r="D238" s="38" t="n">
        <v>387.29</v>
      </c>
      <c r="E238" s="23" t="n">
        <f aca="false">C238/C237-1</f>
        <v>-0.0127276140416746</v>
      </c>
      <c r="F238" s="23" t="n">
        <f aca="false">D238/D237-1</f>
        <v>0.00251087181611109</v>
      </c>
      <c r="G238" s="23" t="n">
        <f aca="false">E238-$K$7*F238</f>
        <v>-0.0202710509608387</v>
      </c>
    </row>
    <row r="239" customFormat="false" ht="15" hidden="false" customHeight="false" outlineLevel="0" collapsed="false">
      <c r="B239" s="24" t="n">
        <v>45266</v>
      </c>
      <c r="C239" s="38" t="n">
        <v>25.342</v>
      </c>
      <c r="D239" s="38" t="n">
        <v>385.05</v>
      </c>
      <c r="E239" s="23" t="n">
        <f aca="false">C239/C238-1</f>
        <v>-0.0362792820200791</v>
      </c>
      <c r="F239" s="23" t="n">
        <f aca="false">D239/D238-1</f>
        <v>-0.00578377959668464</v>
      </c>
      <c r="G239" s="23" t="n">
        <f aca="false">E239-$K$7*F239</f>
        <v>-0.018903016030717</v>
      </c>
    </row>
    <row r="240" customFormat="false" ht="15" hidden="false" customHeight="false" outlineLevel="0" collapsed="false">
      <c r="B240" s="24" t="n">
        <v>45267</v>
      </c>
      <c r="C240" s="38" t="n">
        <v>25.615</v>
      </c>
      <c r="D240" s="38" t="n">
        <v>390.43</v>
      </c>
      <c r="E240" s="23" t="n">
        <f aca="false">C240/C239-1</f>
        <v>0.0107726304159104</v>
      </c>
      <c r="F240" s="23" t="n">
        <f aca="false">D240/D239-1</f>
        <v>0.0139722114011167</v>
      </c>
      <c r="G240" s="23" t="n">
        <f aca="false">E240-$K$7*F240</f>
        <v>-0.0312042218667337</v>
      </c>
    </row>
    <row r="241" customFormat="false" ht="15" hidden="false" customHeight="false" outlineLevel="0" collapsed="false">
      <c r="B241" s="24" t="n">
        <v>45268</v>
      </c>
      <c r="C241" s="38" t="n">
        <v>27.265</v>
      </c>
      <c r="D241" s="38" t="n">
        <v>392.17</v>
      </c>
      <c r="E241" s="23" t="n">
        <f aca="false">C241/C240-1</f>
        <v>0.0644153816123365</v>
      </c>
      <c r="F241" s="23" t="n">
        <f aca="false">D241/D240-1</f>
        <v>0.00445662474707387</v>
      </c>
      <c r="G241" s="23" t="n">
        <f aca="false">E241-$K$7*F241</f>
        <v>0.0510263000048149</v>
      </c>
    </row>
    <row r="242" customFormat="false" ht="15" hidden="false" customHeight="false" outlineLevel="0" collapsed="false">
      <c r="B242" s="24" t="n">
        <v>45271</v>
      </c>
      <c r="C242" s="38" t="n">
        <v>26.226</v>
      </c>
      <c r="D242" s="38" t="n">
        <v>395.52</v>
      </c>
      <c r="E242" s="23" t="n">
        <f aca="false">C242/C241-1</f>
        <v>-0.0381074637814048</v>
      </c>
      <c r="F242" s="23" t="n">
        <f aca="false">D242/D241-1</f>
        <v>0.00854221383583642</v>
      </c>
      <c r="G242" s="23" t="n">
        <f aca="false">E242-$K$7*F242</f>
        <v>-0.0637709209149696</v>
      </c>
    </row>
    <row r="243" customFormat="false" ht="15" hidden="false" customHeight="false" outlineLevel="0" collapsed="false">
      <c r="B243" s="24" t="n">
        <v>45272</v>
      </c>
      <c r="C243" s="38" t="n">
        <v>26.537</v>
      </c>
      <c r="D243" s="38" t="n">
        <v>398.67</v>
      </c>
      <c r="E243" s="23" t="n">
        <f aca="false">C243/C242-1</f>
        <v>0.0118584610691681</v>
      </c>
      <c r="F243" s="23" t="n">
        <f aca="false">D243/D242-1</f>
        <v>0.00796419902912637</v>
      </c>
      <c r="G243" s="23" t="n">
        <f aca="false">E243-$K$7*F243</f>
        <v>-0.0120684604894691</v>
      </c>
    </row>
    <row r="244" customFormat="false" ht="15" hidden="false" customHeight="false" outlineLevel="0" collapsed="false">
      <c r="B244" s="24" t="n">
        <v>45273</v>
      </c>
      <c r="C244" s="38" t="n">
        <v>27.332</v>
      </c>
      <c r="D244" s="38" t="n">
        <v>403.74</v>
      </c>
      <c r="E244" s="23" t="n">
        <f aca="false">C244/C243-1</f>
        <v>0.029958171609451</v>
      </c>
      <c r="F244" s="23" t="n">
        <f aca="false">D244/D243-1</f>
        <v>0.0127172849725337</v>
      </c>
      <c r="G244" s="23" t="n">
        <f aca="false">E244-$K$7*F244</f>
        <v>-0.00824849284780656</v>
      </c>
    </row>
    <row r="245" customFormat="false" ht="15" hidden="false" customHeight="false" outlineLevel="0" collapsed="false">
      <c r="B245" s="24" t="n">
        <v>45274</v>
      </c>
      <c r="C245" s="38" t="n">
        <v>29.44</v>
      </c>
      <c r="D245" s="38" t="n">
        <v>403.39</v>
      </c>
      <c r="E245" s="23" t="n">
        <f aca="false">C245/C244-1</f>
        <v>0.0771257134494365</v>
      </c>
      <c r="F245" s="23" t="n">
        <f aca="false">D245/D244-1</f>
        <v>-0.000866894536087681</v>
      </c>
      <c r="G245" s="23" t="n">
        <f aca="false">E245-$K$7*F245</f>
        <v>0.0797301332396406</v>
      </c>
    </row>
    <row r="246" customFormat="false" ht="15" hidden="false" customHeight="false" outlineLevel="0" collapsed="false">
      <c r="B246" s="24" t="n">
        <v>45275</v>
      </c>
      <c r="C246" s="38" t="n">
        <v>30.011</v>
      </c>
      <c r="D246" s="38" t="n">
        <v>405.34</v>
      </c>
      <c r="E246" s="23" t="n">
        <f aca="false">C246/C245-1</f>
        <v>0.0193953804347826</v>
      </c>
      <c r="F246" s="23" t="n">
        <f aca="false">D246/D245-1</f>
        <v>0.00483403158233964</v>
      </c>
      <c r="G246" s="23" t="n">
        <f aca="false">E246-$K$7*F246</f>
        <v>0.00487245175612769</v>
      </c>
    </row>
    <row r="247" customFormat="false" ht="15" hidden="false" customHeight="false" outlineLevel="0" collapsed="false">
      <c r="B247" s="24" t="n">
        <v>45278</v>
      </c>
      <c r="C247" s="38" t="n">
        <v>32.219</v>
      </c>
      <c r="D247" s="38" t="n">
        <v>407.08</v>
      </c>
      <c r="E247" s="23" t="n">
        <f aca="false">C247/C246-1</f>
        <v>0.0735730232248177</v>
      </c>
      <c r="F247" s="23" t="n">
        <f aca="false">D247/D246-1</f>
        <v>0.0042926925543989</v>
      </c>
      <c r="G247" s="23" t="n">
        <f aca="false">E247-$K$7*F247</f>
        <v>0.0606764447178244</v>
      </c>
    </row>
    <row r="248" customFormat="false" ht="15" hidden="false" customHeight="false" outlineLevel="0" collapsed="false">
      <c r="B248" s="24" t="n">
        <v>45279</v>
      </c>
      <c r="C248" s="38" t="n">
        <v>31.594</v>
      </c>
      <c r="D248" s="38" t="n">
        <v>409.16</v>
      </c>
      <c r="E248" s="23" t="n">
        <f aca="false">C248/C247-1</f>
        <v>-0.0193984915732952</v>
      </c>
      <c r="F248" s="23" t="n">
        <f aca="false">D248/D247-1</f>
        <v>0.00510956077429503</v>
      </c>
      <c r="G248" s="23" t="n">
        <f aca="false">E248-$K$7*F248</f>
        <v>-0.0347491953161997</v>
      </c>
    </row>
    <row r="249" customFormat="false" ht="15" hidden="false" customHeight="false" outlineLevel="0" collapsed="false">
      <c r="B249" s="24" t="n">
        <v>45280</v>
      </c>
      <c r="C249" s="38" t="n">
        <v>30.208</v>
      </c>
      <c r="D249" s="38" t="n">
        <v>403.08</v>
      </c>
      <c r="E249" s="23" t="n">
        <f aca="false">C249/C248-1</f>
        <v>-0.0438690890675446</v>
      </c>
      <c r="F249" s="23" t="n">
        <f aca="false">D249/D248-1</f>
        <v>-0.0148597125818751</v>
      </c>
      <c r="G249" s="23" t="n">
        <f aca="false">E249-$K$7*F249</f>
        <v>0.000774091750780734</v>
      </c>
    </row>
    <row r="250" customFormat="false" ht="15" hidden="false" customHeight="false" outlineLevel="0" collapsed="false">
      <c r="B250" s="24" t="n">
        <v>45281</v>
      </c>
      <c r="C250" s="38" t="n">
        <v>30.418</v>
      </c>
      <c r="D250" s="38" t="n">
        <v>407.77</v>
      </c>
      <c r="E250" s="23" t="n">
        <f aca="false">C250/C249-1</f>
        <v>0.00695180084745761</v>
      </c>
      <c r="F250" s="23" t="n">
        <f aca="false">D250/D249-1</f>
        <v>0.0116354073633025</v>
      </c>
      <c r="G250" s="23" t="n">
        <f aca="false">E250-$K$7*F250</f>
        <v>-0.0280045680562294</v>
      </c>
    </row>
    <row r="251" customFormat="false" ht="15" hidden="false" customHeight="false" outlineLevel="0" collapsed="false">
      <c r="B251" s="24" t="n">
        <v>45282</v>
      </c>
      <c r="C251" s="38" t="n">
        <v>28.972</v>
      </c>
      <c r="D251" s="38" t="n">
        <v>408.38</v>
      </c>
      <c r="E251" s="23" t="n">
        <f aca="false">C251/C250-1</f>
        <v>-0.047537642185548</v>
      </c>
      <c r="F251" s="23" t="n">
        <f aca="false">D251/D250-1</f>
        <v>0.00149594133948061</v>
      </c>
      <c r="G251" s="23" t="n">
        <f aca="false">E251-$K$7*F251</f>
        <v>-0.0520319134807747</v>
      </c>
    </row>
    <row r="252" customFormat="false" ht="15" hidden="false" customHeight="false" outlineLevel="0" collapsed="false">
      <c r="B252" s="24" t="n">
        <v>45286</v>
      </c>
      <c r="C252" s="38" t="n">
        <v>29.433</v>
      </c>
      <c r="D252" s="38" t="n">
        <v>410.88</v>
      </c>
      <c r="E252" s="23" t="n">
        <f aca="false">C252/C251-1</f>
        <v>0.0159119149523677</v>
      </c>
      <c r="F252" s="23" t="n">
        <f aca="false">D252/D251-1</f>
        <v>0.00612174935109455</v>
      </c>
      <c r="G252" s="23" t="n">
        <f aca="false">E252-$K$7*F252</f>
        <v>-0.00247971689781536</v>
      </c>
    </row>
    <row r="253" customFormat="false" ht="15" hidden="false" customHeight="false" outlineLevel="0" collapsed="false">
      <c r="B253" s="24" t="n">
        <v>45287</v>
      </c>
      <c r="C253" s="38" t="n">
        <v>29.5</v>
      </c>
      <c r="D253" s="38" t="n">
        <v>411.5</v>
      </c>
      <c r="E253" s="23" t="n">
        <f aca="false">C253/C252-1</f>
        <v>0.00227635647062829</v>
      </c>
      <c r="F253" s="23" t="n">
        <f aca="false">D253/D252-1</f>
        <v>0.00150895638629289</v>
      </c>
      <c r="G253" s="23" t="n">
        <f aca="false">E253-$K$7*F253</f>
        <v>-0.0022570160578826</v>
      </c>
    </row>
    <row r="254" customFormat="false" ht="15" hidden="false" customHeight="false" outlineLevel="0" collapsed="false">
      <c r="B254" s="24" t="n">
        <v>45288</v>
      </c>
      <c r="C254" s="38" t="n">
        <v>29.145</v>
      </c>
      <c r="D254" s="38" t="n">
        <v>411.3</v>
      </c>
      <c r="E254" s="23" t="n">
        <f aca="false">C254/C253-1</f>
        <v>-0.0120338983050847</v>
      </c>
      <c r="F254" s="23" t="n">
        <f aca="false">D254/D253-1</f>
        <v>-0.000486026731470246</v>
      </c>
      <c r="G254" s="23" t="n">
        <f aca="false">E254-$K$7*F254</f>
        <v>-0.0105737234103138</v>
      </c>
    </row>
    <row r="255" customFormat="false" ht="15" hidden="false" customHeight="false" outlineLevel="0" collapsed="false">
      <c r="B255" s="24" t="n">
        <v>45289</v>
      </c>
      <c r="C255" s="38" t="n">
        <v>28.426</v>
      </c>
      <c r="D255" s="38" t="n">
        <v>409.52</v>
      </c>
      <c r="E255" s="23" t="n">
        <f aca="false">C255/C254-1</f>
        <v>-0.0246697546749014</v>
      </c>
      <c r="F255" s="23" t="n">
        <f aca="false">D255/D254-1</f>
        <v>-0.00432774130804769</v>
      </c>
      <c r="G255" s="23" t="n">
        <f aca="false">E255-$K$7*F255</f>
        <v>-0.0116678788522313</v>
      </c>
    </row>
    <row r="256" customFormat="false" ht="15" hidden="false" customHeight="false" outlineLevel="0" collapsed="false">
      <c r="B256" s="24" t="n">
        <v>45293</v>
      </c>
      <c r="C256" s="38" t="n">
        <v>28.545</v>
      </c>
      <c r="D256" s="38" t="n">
        <v>402.59</v>
      </c>
      <c r="E256" s="23" t="n">
        <f aca="false">C256/C255-1</f>
        <v>0.00418630830929434</v>
      </c>
      <c r="F256" s="23" t="n">
        <f aca="false">D256/D255-1</f>
        <v>-0.016922250439539</v>
      </c>
      <c r="G256" s="23" t="n">
        <f aca="false">E256-$K$7*F256</f>
        <v>0.0550259919211286</v>
      </c>
    </row>
    <row r="257" customFormat="false" ht="15" hidden="false" customHeight="false" outlineLevel="0" collapsed="false">
      <c r="B257" s="24" t="n">
        <v>45294</v>
      </c>
      <c r="C257" s="38" t="n">
        <v>28.064</v>
      </c>
      <c r="D257" s="38" t="n">
        <v>398.33</v>
      </c>
      <c r="E257" s="23" t="n">
        <f aca="false">C257/C256-1</f>
        <v>-0.0168505867927834</v>
      </c>
      <c r="F257" s="23" t="n">
        <f aca="false">D257/D256-1</f>
        <v>-0.0105814848853673</v>
      </c>
      <c r="G257" s="23" t="n">
        <f aca="false">E257-$K$7*F257</f>
        <v>0.0149394724335315</v>
      </c>
    </row>
    <row r="258" customFormat="false" ht="15" hidden="false" customHeight="false" outlineLevel="0" collapsed="false">
      <c r="B258" s="24" t="n">
        <v>45295</v>
      </c>
      <c r="C258" s="38" t="n">
        <v>28.88</v>
      </c>
      <c r="D258" s="38" t="n">
        <v>396.28</v>
      </c>
      <c r="E258" s="23" t="n">
        <f aca="false">C258/C257-1</f>
        <v>0.0290763968072976</v>
      </c>
      <c r="F258" s="23" t="n">
        <f aca="false">D258/D257-1</f>
        <v>-0.00514648658147765</v>
      </c>
      <c r="G258" s="23" t="n">
        <f aca="false">E258-$K$7*F258</f>
        <v>0.044538037116292</v>
      </c>
    </row>
    <row r="259" customFormat="false" ht="15" hidden="false" customHeight="false" outlineLevel="0" collapsed="false">
      <c r="B259" s="24" t="n">
        <v>45296</v>
      </c>
      <c r="C259" s="38" t="n">
        <v>29.213</v>
      </c>
      <c r="D259" s="38" t="n">
        <v>396.75</v>
      </c>
      <c r="E259" s="23" t="n">
        <f aca="false">C259/C258-1</f>
        <v>0.0115304709141275</v>
      </c>
      <c r="F259" s="23" t="n">
        <f aca="false">D259/D258-1</f>
        <v>0.00118603007974172</v>
      </c>
      <c r="G259" s="23" t="n">
        <f aca="false">E259-$K$7*F259</f>
        <v>0.00796726906791785</v>
      </c>
    </row>
    <row r="260" customFormat="false" ht="15" hidden="false" customHeight="false" outlineLevel="0" collapsed="false">
      <c r="B260" s="24" t="n">
        <v>45299</v>
      </c>
      <c r="C260" s="38" t="n">
        <v>32.028</v>
      </c>
      <c r="D260" s="38" t="n">
        <v>404.95</v>
      </c>
      <c r="E260" s="23" t="n">
        <f aca="false">C260/C259-1</f>
        <v>0.0963612090507651</v>
      </c>
      <c r="F260" s="23" t="n">
        <f aca="false">D260/D259-1</f>
        <v>0.0206679269061121</v>
      </c>
      <c r="G260" s="23" t="n">
        <f aca="false">E260-$K$7*F260</f>
        <v>0.0342683527505081</v>
      </c>
    </row>
    <row r="261" customFormat="false" ht="15" hidden="false" customHeight="false" outlineLevel="0" collapsed="false">
      <c r="B261" s="24" t="n">
        <v>45300</v>
      </c>
      <c r="C261" s="38" t="n">
        <v>34.373</v>
      </c>
      <c r="D261" s="38" t="n">
        <v>405.75</v>
      </c>
      <c r="E261" s="23" t="n">
        <f aca="false">C261/C260-1</f>
        <v>0.0732171849631571</v>
      </c>
      <c r="F261" s="23" t="n">
        <f aca="false">D261/D260-1</f>
        <v>0.00197555253735038</v>
      </c>
      <c r="G261" s="23" t="n">
        <f aca="false">E261-$K$7*F261</f>
        <v>0.0672820130239227</v>
      </c>
    </row>
    <row r="262" customFormat="false" ht="15" hidden="false" customHeight="false" outlineLevel="0" collapsed="false">
      <c r="B262" s="24" t="n">
        <v>45301</v>
      </c>
      <c r="C262" s="38" t="n">
        <v>34.238</v>
      </c>
      <c r="D262" s="38" t="n">
        <v>408.5</v>
      </c>
      <c r="E262" s="23" t="n">
        <f aca="false">C262/C261-1</f>
        <v>-0.00392750123643548</v>
      </c>
      <c r="F262" s="23" t="n">
        <f aca="false">D262/D261-1</f>
        <v>0.00677757239679599</v>
      </c>
      <c r="G262" s="23" t="n">
        <f aca="false">E262-$K$7*F262</f>
        <v>-0.0242894287200472</v>
      </c>
    </row>
    <row r="263" customFormat="false" ht="15" hidden="false" customHeight="false" outlineLevel="0" collapsed="false">
      <c r="B263" s="24" t="n">
        <v>45302</v>
      </c>
      <c r="C263" s="38" t="n">
        <v>34.331</v>
      </c>
      <c r="D263" s="38" t="n">
        <v>409.35</v>
      </c>
      <c r="E263" s="23" t="n">
        <f aca="false">C263/C262-1</f>
        <v>0.00271628015655123</v>
      </c>
      <c r="F263" s="23" t="n">
        <f aca="false">D263/D262-1</f>
        <v>0.0020807833537333</v>
      </c>
      <c r="G263" s="23" t="n">
        <f aca="false">E263-$K$7*F263</f>
        <v>-0.0035350377604441</v>
      </c>
    </row>
    <row r="264" customFormat="false" ht="15" hidden="false" customHeight="false" outlineLevel="0" collapsed="false">
      <c r="B264" s="24" t="n">
        <v>45303</v>
      </c>
      <c r="C264" s="38" t="n">
        <v>33.956</v>
      </c>
      <c r="D264" s="38" t="n">
        <v>409.56</v>
      </c>
      <c r="E264" s="23" t="n">
        <f aca="false">C264/C263-1</f>
        <v>-0.0109230724418165</v>
      </c>
      <c r="F264" s="23" t="n">
        <f aca="false">D264/D263-1</f>
        <v>0.00051300842799562</v>
      </c>
      <c r="G264" s="23" t="n">
        <f aca="false">E264-$K$7*F264</f>
        <v>-0.0124643087131201</v>
      </c>
    </row>
    <row r="265" customFormat="false" ht="15" hidden="false" customHeight="false" outlineLevel="0" collapsed="false">
      <c r="B265" s="24" t="n">
        <v>45307</v>
      </c>
      <c r="C265" s="38" t="n">
        <v>32.631</v>
      </c>
      <c r="D265" s="38" t="n">
        <v>409.52</v>
      </c>
      <c r="E265" s="23" t="n">
        <f aca="false">C265/C264-1</f>
        <v>-0.0390210861114384</v>
      </c>
      <c r="F265" s="23" t="n">
        <f aca="false">D265/D264-1</f>
        <v>-9.76657876746723E-005</v>
      </c>
      <c r="G265" s="23" t="n">
        <f aca="false">E265-$K$7*F265</f>
        <v>-0.0387276678239109</v>
      </c>
    </row>
    <row r="266" customFormat="false" ht="15" hidden="false" customHeight="false" outlineLevel="0" collapsed="false">
      <c r="B266" s="24" t="n">
        <v>45308</v>
      </c>
      <c r="C266" s="38" t="n">
        <v>31.823</v>
      </c>
      <c r="D266" s="38" t="n">
        <v>407.21</v>
      </c>
      <c r="E266" s="23" t="n">
        <f aca="false">C266/C265-1</f>
        <v>-0.0247617296435905</v>
      </c>
      <c r="F266" s="23" t="n">
        <f aca="false">D266/D265-1</f>
        <v>-0.005640750146513</v>
      </c>
      <c r="G266" s="23" t="n">
        <f aca="false">E266-$K$7*F266</f>
        <v>-0.00781516843964571</v>
      </c>
    </row>
    <row r="267" customFormat="false" ht="15" hidden="false" customHeight="false" outlineLevel="0" collapsed="false">
      <c r="B267" s="24" t="n">
        <v>45309</v>
      </c>
      <c r="C267" s="38" t="n">
        <v>31.144</v>
      </c>
      <c r="D267" s="38" t="n">
        <v>412.99</v>
      </c>
      <c r="E267" s="23" t="n">
        <f aca="false">C267/C266-1</f>
        <v>-0.021336769003551</v>
      </c>
      <c r="F267" s="23" t="n">
        <f aca="false">D267/D266-1</f>
        <v>0.0141941504383489</v>
      </c>
      <c r="G267" s="23" t="n">
        <f aca="false">E267-$K$7*F267</f>
        <v>-0.0639803949209616</v>
      </c>
    </row>
    <row r="268" customFormat="false" ht="15" hidden="false" customHeight="false" outlineLevel="0" collapsed="false">
      <c r="B268" s="24" t="n">
        <v>45310</v>
      </c>
      <c r="C268" s="38" t="n">
        <v>42.336</v>
      </c>
      <c r="D268" s="38" t="n">
        <v>421.18</v>
      </c>
      <c r="E268" s="23" t="n">
        <f aca="false">C268/C267-1</f>
        <v>0.359362959157462</v>
      </c>
      <c r="F268" s="23" t="n">
        <f aca="false">D268/D267-1</f>
        <v>0.0198309886437928</v>
      </c>
      <c r="G268" s="23" t="n">
        <f aca="false">E268-$K$7*F268</f>
        <v>0.299784524719177</v>
      </c>
    </row>
    <row r="269" customFormat="false" ht="15" hidden="false" customHeight="false" outlineLevel="0" collapsed="false">
      <c r="B269" s="24" t="n">
        <v>45313</v>
      </c>
      <c r="C269" s="38" t="n">
        <v>43.624</v>
      </c>
      <c r="D269" s="38" t="n">
        <v>421.73</v>
      </c>
      <c r="E269" s="23" t="n">
        <f aca="false">C269/C268-1</f>
        <v>0.0304232804232805</v>
      </c>
      <c r="F269" s="23" t="n">
        <f aca="false">D269/D268-1</f>
        <v>0.00130585497886893</v>
      </c>
      <c r="G269" s="23" t="n">
        <f aca="false">E269-$K$7*F269</f>
        <v>0.026500087452828</v>
      </c>
    </row>
    <row r="270" customFormat="false" ht="15" hidden="false" customHeight="false" outlineLevel="0" collapsed="false">
      <c r="B270" s="24" t="n">
        <v>45314</v>
      </c>
      <c r="C270" s="38" t="n">
        <v>45.738</v>
      </c>
      <c r="D270" s="38" t="n">
        <v>423.48</v>
      </c>
      <c r="E270" s="23" t="n">
        <f aca="false">C270/C269-1</f>
        <v>0.0484595635430039</v>
      </c>
      <c r="F270" s="23" t="n">
        <f aca="false">D270/D269-1</f>
        <v>0.00414957437222863</v>
      </c>
      <c r="G270" s="23" t="n">
        <f aca="false">E270-$K$7*F270</f>
        <v>0.035992956399845</v>
      </c>
    </row>
    <row r="271" customFormat="false" ht="15" hidden="false" customHeight="false" outlineLevel="0" collapsed="false">
      <c r="B271" s="24" t="n">
        <v>45315</v>
      </c>
      <c r="C271" s="38" t="n">
        <v>47.019</v>
      </c>
      <c r="D271" s="38" t="n">
        <v>425.83</v>
      </c>
      <c r="E271" s="23" t="n">
        <f aca="false">C271/C270-1</f>
        <v>0.0280073461891643</v>
      </c>
      <c r="F271" s="23" t="n">
        <f aca="false">D271/D270-1</f>
        <v>0.00554925852460553</v>
      </c>
      <c r="G271" s="23" t="n">
        <f aca="false">E271-$K$7*F271</f>
        <v>0.0113356541657419</v>
      </c>
    </row>
    <row r="272" customFormat="false" ht="15" hidden="false" customHeight="false" outlineLevel="0" collapsed="false">
      <c r="B272" s="24" t="n">
        <v>45316</v>
      </c>
      <c r="C272" s="38" t="n">
        <v>47.558</v>
      </c>
      <c r="D272" s="38" t="n">
        <v>426.35</v>
      </c>
      <c r="E272" s="23" t="n">
        <f aca="false">C272/C271-1</f>
        <v>0.0114634509453626</v>
      </c>
      <c r="F272" s="23" t="n">
        <f aca="false">D272/D271-1</f>
        <v>0.00122114458821598</v>
      </c>
      <c r="G272" s="23" t="n">
        <f aca="false">E272-$K$7*F272</f>
        <v>0.00779475423560658</v>
      </c>
    </row>
    <row r="273" customFormat="false" ht="15" hidden="false" customHeight="false" outlineLevel="0" collapsed="false">
      <c r="B273" s="24" t="n">
        <v>45317</v>
      </c>
      <c r="C273" s="38" t="n">
        <v>47.415</v>
      </c>
      <c r="D273" s="38" t="n">
        <v>423.81</v>
      </c>
      <c r="E273" s="23" t="n">
        <f aca="false">C273/C272-1</f>
        <v>-0.00300685478783802</v>
      </c>
      <c r="F273" s="23" t="n">
        <f aca="false">D273/D272-1</f>
        <v>-0.00595754661662962</v>
      </c>
      <c r="G273" s="23" t="n">
        <f aca="false">E273-$K$7*F273</f>
        <v>0.0148914611704533</v>
      </c>
    </row>
    <row r="274" customFormat="false" ht="15" hidden="false" customHeight="false" outlineLevel="0" collapsed="false">
      <c r="B274" s="24" t="n">
        <v>45320</v>
      </c>
      <c r="C274" s="38" t="n">
        <v>49.567</v>
      </c>
      <c r="D274" s="38" t="n">
        <v>428.15</v>
      </c>
      <c r="E274" s="23" t="n">
        <f aca="false">C274/C273-1</f>
        <v>0.0453864810713909</v>
      </c>
      <c r="F274" s="23" t="n">
        <f aca="false">D274/D273-1</f>
        <v>0.0102404379320922</v>
      </c>
      <c r="G274" s="23" t="n">
        <f aca="false">E274-$K$7*F274</f>
        <v>0.0146210325647456</v>
      </c>
    </row>
    <row r="275" customFormat="false" ht="15" hidden="false" customHeight="false" outlineLevel="0" collapsed="false">
      <c r="B275" s="24" t="n">
        <v>45321</v>
      </c>
      <c r="C275" s="38" t="n">
        <v>51.297</v>
      </c>
      <c r="D275" s="38" t="n">
        <v>425.3</v>
      </c>
      <c r="E275" s="23" t="n">
        <f aca="false">C275/C274-1</f>
        <v>0.0349022535154437</v>
      </c>
      <c r="F275" s="23" t="n">
        <f aca="false">D275/D274-1</f>
        <v>-0.00665654560317641</v>
      </c>
      <c r="G275" s="23" t="n">
        <f aca="false">E275-$K$7*F275</f>
        <v>0.0549005790113554</v>
      </c>
    </row>
    <row r="276" customFormat="false" ht="15" hidden="false" customHeight="false" outlineLevel="0" collapsed="false">
      <c r="B276" s="24" t="n">
        <v>45322</v>
      </c>
      <c r="C276" s="38" t="n">
        <v>52.961</v>
      </c>
      <c r="D276" s="38" t="n">
        <v>416.97</v>
      </c>
      <c r="E276" s="23" t="n">
        <f aca="false">C276/C275-1</f>
        <v>0.0324385441643762</v>
      </c>
      <c r="F276" s="23" t="n">
        <f aca="false">D276/D275-1</f>
        <v>-0.0195861744650835</v>
      </c>
      <c r="G276" s="23" t="n">
        <f aca="false">E276-$K$7*F276</f>
        <v>0.0912814809551261</v>
      </c>
    </row>
    <row r="277" customFormat="false" ht="15" hidden="false" customHeight="false" outlineLevel="0" collapsed="false">
      <c r="B277" s="24" t="n">
        <v>45323</v>
      </c>
      <c r="C277" s="38" t="n">
        <v>58.35</v>
      </c>
      <c r="D277" s="38" t="n">
        <v>421.88</v>
      </c>
      <c r="E277" s="23" t="n">
        <f aca="false">C277/C276-1</f>
        <v>0.101754120956931</v>
      </c>
      <c r="F277" s="23" t="n">
        <f aca="false">D277/D276-1</f>
        <v>0.011775427488788</v>
      </c>
      <c r="G277" s="23" t="n">
        <f aca="false">E277-$K$7*F277</f>
        <v>0.0663770882116105</v>
      </c>
    </row>
    <row r="278" customFormat="false" ht="15" hidden="false" customHeight="false" outlineLevel="0" collapsed="false">
      <c r="B278" s="24" t="n">
        <v>45324</v>
      </c>
      <c r="C278" s="38" t="n">
        <v>57.963</v>
      </c>
      <c r="D278" s="38" t="n">
        <v>429.01</v>
      </c>
      <c r="E278" s="23" t="n">
        <f aca="false">C278/C277-1</f>
        <v>-0.00663239074550126</v>
      </c>
      <c r="F278" s="23" t="n">
        <f aca="false">D278/D277-1</f>
        <v>0.0169005404380393</v>
      </c>
      <c r="G278" s="23" t="n">
        <f aca="false">E278-$K$7*F278</f>
        <v>-0.0574068507860737</v>
      </c>
    </row>
    <row r="279" customFormat="false" ht="15" hidden="false" customHeight="false" outlineLevel="0" collapsed="false">
      <c r="B279" s="24" t="n">
        <v>45327</v>
      </c>
      <c r="C279" s="38" t="n">
        <v>66.335</v>
      </c>
      <c r="D279" s="38" t="n">
        <v>428.45</v>
      </c>
      <c r="E279" s="23" t="n">
        <f aca="false">C279/C278-1</f>
        <v>0.144436968410883</v>
      </c>
      <c r="F279" s="23" t="n">
        <f aca="false">D279/D278-1</f>
        <v>-0.00130533087806817</v>
      </c>
      <c r="G279" s="23" t="n">
        <f aca="false">E279-$K$7*F279</f>
        <v>0.148358586820139</v>
      </c>
    </row>
    <row r="280" customFormat="false" ht="15" hidden="false" customHeight="false" outlineLevel="0" collapsed="false">
      <c r="B280" s="24" t="n">
        <v>45328</v>
      </c>
      <c r="C280" s="38" t="n">
        <v>68.159</v>
      </c>
      <c r="D280" s="38" t="n">
        <v>427.59</v>
      </c>
      <c r="E280" s="23" t="n">
        <f aca="false">C280/C279-1</f>
        <v>0.0274967965629005</v>
      </c>
      <c r="F280" s="23" t="n">
        <f aca="false">D280/D279-1</f>
        <v>-0.00200723538335867</v>
      </c>
      <c r="G280" s="23" t="n">
        <f aca="false">E280-$K$7*F280</f>
        <v>0.0335271535883467</v>
      </c>
    </row>
    <row r="281" customFormat="false" ht="15" hidden="false" customHeight="false" outlineLevel="0" collapsed="false">
      <c r="B281" s="24" t="n">
        <v>45329</v>
      </c>
      <c r="C281" s="38" t="n">
        <v>68.36</v>
      </c>
      <c r="D281" s="38" t="n">
        <v>431.99</v>
      </c>
      <c r="E281" s="23" t="n">
        <f aca="false">C281/C280-1</f>
        <v>0.00294898692762491</v>
      </c>
      <c r="F281" s="23" t="n">
        <f aca="false">D281/D280-1</f>
        <v>0.0102902312963353</v>
      </c>
      <c r="G281" s="23" t="n">
        <f aca="false">E281-$K$7*F281</f>
        <v>-0.0279660562734811</v>
      </c>
    </row>
    <row r="282" customFormat="false" ht="15" hidden="false" customHeight="false" outlineLevel="0" collapsed="false">
      <c r="B282" s="24" t="n">
        <v>45330</v>
      </c>
      <c r="C282" s="38" t="n">
        <v>69.8</v>
      </c>
      <c r="D282" s="38" t="n">
        <v>432.79</v>
      </c>
      <c r="E282" s="23" t="n">
        <f aca="false">C282/C281-1</f>
        <v>0.0210649502633118</v>
      </c>
      <c r="F282" s="23" t="n">
        <f aca="false">D282/D281-1</f>
        <v>0.0018518947197852</v>
      </c>
      <c r="G282" s="23" t="n">
        <f aca="false">E282-$K$7*F282</f>
        <v>0.0155012847229222</v>
      </c>
    </row>
    <row r="283" customFormat="false" ht="15" hidden="false" customHeight="false" outlineLevel="0" collapsed="false">
      <c r="B283" s="24" t="n">
        <v>45331</v>
      </c>
      <c r="C283" s="38" t="n">
        <v>74.029</v>
      </c>
      <c r="D283" s="38" t="n">
        <v>437.05</v>
      </c>
      <c r="E283" s="23" t="n">
        <f aca="false">C283/C282-1</f>
        <v>0.0605873925501432</v>
      </c>
      <c r="F283" s="23" t="n">
        <f aca="false">D283/D282-1</f>
        <v>0.00984311097761026</v>
      </c>
      <c r="G283" s="23" t="n">
        <f aca="false">E283-$K$7*F283</f>
        <v>0.0310156373249256</v>
      </c>
    </row>
    <row r="284" customFormat="false" ht="15" hidden="false" customHeight="false" outlineLevel="0" collapsed="false">
      <c r="B284" s="24" t="n">
        <v>45334</v>
      </c>
      <c r="C284" s="38" t="n">
        <v>77.301</v>
      </c>
      <c r="D284" s="38" t="n">
        <v>435.34</v>
      </c>
      <c r="E284" s="23" t="n">
        <f aca="false">C284/C283-1</f>
        <v>0.0441988950276244</v>
      </c>
      <c r="F284" s="23" t="n">
        <f aca="false">D284/D283-1</f>
        <v>-0.0039125958128361</v>
      </c>
      <c r="G284" s="23" t="n">
        <f aca="false">E284-$K$7*F284</f>
        <v>0.0559535451515115</v>
      </c>
    </row>
    <row r="285" customFormat="false" ht="15" hidden="false" customHeight="false" outlineLevel="0" collapsed="false">
      <c r="B285" s="24" t="n">
        <v>45335</v>
      </c>
      <c r="C285" s="38" t="n">
        <v>79.149</v>
      </c>
      <c r="D285" s="38" t="n">
        <v>428.55</v>
      </c>
      <c r="E285" s="23" t="n">
        <f aca="false">C285/C284-1</f>
        <v>0.023906547133931</v>
      </c>
      <c r="F285" s="23" t="n">
        <f aca="false">D285/D284-1</f>
        <v>-0.0155970046400514</v>
      </c>
      <c r="G285" s="23" t="n">
        <f aca="false">E285-$K$7*F285</f>
        <v>0.0707647817420065</v>
      </c>
    </row>
    <row r="286" customFormat="false" ht="15" hidden="false" customHeight="false" outlineLevel="0" collapsed="false">
      <c r="B286" s="24" t="n">
        <v>45336</v>
      </c>
      <c r="C286" s="38" t="n">
        <v>88.055</v>
      </c>
      <c r="D286" s="38" t="n">
        <v>433.22</v>
      </c>
      <c r="E286" s="23" t="n">
        <f aca="false">C286/C285-1</f>
        <v>0.112521952267243</v>
      </c>
      <c r="F286" s="23" t="n">
        <f aca="false">D286/D285-1</f>
        <v>0.010897211527243</v>
      </c>
      <c r="G286" s="23" t="n">
        <f aca="false">E286-$K$7*F286</f>
        <v>0.0797833523820988</v>
      </c>
    </row>
    <row r="287" customFormat="false" ht="15" hidden="false" customHeight="false" outlineLevel="0" collapsed="false">
      <c r="B287" s="24" t="n">
        <v>45337</v>
      </c>
      <c r="C287" s="38" t="n">
        <v>100.4</v>
      </c>
      <c r="D287" s="38" t="n">
        <v>434.51</v>
      </c>
      <c r="E287" s="23" t="n">
        <f aca="false">C287/C286-1</f>
        <v>0.140196468116518</v>
      </c>
      <c r="F287" s="23" t="n">
        <f aca="false">D287/D286-1</f>
        <v>0.0029777018604864</v>
      </c>
      <c r="G287" s="23" t="n">
        <f aca="false">E287-$K$7*F287</f>
        <v>0.131250529098633</v>
      </c>
    </row>
    <row r="288" customFormat="false" ht="15" hidden="false" customHeight="false" outlineLevel="0" collapsed="false">
      <c r="B288" s="24" t="n">
        <v>45338</v>
      </c>
      <c r="C288" s="38" t="n">
        <v>80.332</v>
      </c>
      <c r="D288" s="38" t="n">
        <v>430.57</v>
      </c>
      <c r="E288" s="23" t="n">
        <f aca="false">C288/C287-1</f>
        <v>-0.199880478087649</v>
      </c>
      <c r="F288" s="23" t="n">
        <f aca="false">D288/D287-1</f>
        <v>-0.00906768543877012</v>
      </c>
      <c r="G288" s="23" t="n">
        <f aca="false">E288-$K$7*F288</f>
        <v>-0.172638341443602</v>
      </c>
    </row>
    <row r="289" customFormat="false" ht="15" hidden="false" customHeight="false" outlineLevel="0" collapsed="false">
      <c r="B289" s="24" t="n">
        <v>45342</v>
      </c>
      <c r="C289" s="38" t="n">
        <v>78.757</v>
      </c>
      <c r="D289" s="38" t="n">
        <v>427.32</v>
      </c>
      <c r="E289" s="23" t="n">
        <f aca="false">C289/C288-1</f>
        <v>-0.0196061345416522</v>
      </c>
      <c r="F289" s="23" t="n">
        <f aca="false">D289/D288-1</f>
        <v>-0.00754813386905728</v>
      </c>
      <c r="G289" s="23" t="n">
        <f aca="false">E289-$K$7*F289</f>
        <v>0.00307079836001556</v>
      </c>
    </row>
    <row r="290" customFormat="false" ht="15" hidden="false" customHeight="false" outlineLevel="0" collapsed="false">
      <c r="B290" s="24" t="n">
        <v>45343</v>
      </c>
      <c r="C290" s="38" t="n">
        <v>73.417</v>
      </c>
      <c r="D290" s="38" t="n">
        <v>425.61</v>
      </c>
      <c r="E290" s="23" t="n">
        <f aca="false">C290/C289-1</f>
        <v>-0.0678034968320277</v>
      </c>
      <c r="F290" s="23" t="n">
        <f aca="false">D290/D289-1</f>
        <v>-0.00400168491996622</v>
      </c>
      <c r="G290" s="23" t="n">
        <f aca="false">E290-$K$7*F290</f>
        <v>-0.0557811954264191</v>
      </c>
    </row>
    <row r="291" customFormat="false" ht="15" hidden="false" customHeight="false" outlineLevel="0" collapsed="false">
      <c r="B291" s="24" t="n">
        <v>45344</v>
      </c>
      <c r="C291" s="38" t="n">
        <v>97.552</v>
      </c>
      <c r="D291" s="38" t="n">
        <v>438.07</v>
      </c>
      <c r="E291" s="23" t="n">
        <f aca="false">C291/C290-1</f>
        <v>0.328738575534277</v>
      </c>
      <c r="F291" s="23" t="n">
        <f aca="false">D291/D290-1</f>
        <v>0.0292756279222761</v>
      </c>
      <c r="G291" s="23" t="n">
        <f aca="false">E291-$K$7*F291</f>
        <v>0.240785518319811</v>
      </c>
    </row>
    <row r="292" customFormat="false" ht="15" hidden="false" customHeight="false" outlineLevel="0" collapsed="false">
      <c r="B292" s="24" t="n">
        <v>45345</v>
      </c>
      <c r="C292" s="38" t="n">
        <v>86.001</v>
      </c>
      <c r="D292" s="38" t="n">
        <v>436.78</v>
      </c>
      <c r="E292" s="23" t="n">
        <f aca="false">C292/C291-1</f>
        <v>-0.118408643595211</v>
      </c>
      <c r="F292" s="23" t="n">
        <f aca="false">D292/D291-1</f>
        <v>-0.00294473485972568</v>
      </c>
      <c r="G292" s="23" t="n">
        <f aca="false">E292-$K$7*F292</f>
        <v>-0.109561747662304</v>
      </c>
    </row>
    <row r="293" customFormat="false" ht="15" hidden="false" customHeight="false" outlineLevel="0" collapsed="false">
      <c r="B293" s="24" t="n">
        <v>45348</v>
      </c>
      <c r="C293" s="38" t="n">
        <v>87.634</v>
      </c>
      <c r="D293" s="38" t="n">
        <v>436.55</v>
      </c>
      <c r="E293" s="23" t="n">
        <f aca="false">C293/C292-1</f>
        <v>0.0189881513005663</v>
      </c>
      <c r="F293" s="23" t="n">
        <f aca="false">D293/D292-1</f>
        <v>-0.000526580887403205</v>
      </c>
      <c r="G293" s="23" t="n">
        <f aca="false">E293-$K$7*F293</f>
        <v>0.0205701634453025</v>
      </c>
    </row>
    <row r="294" customFormat="false" ht="15" hidden="false" customHeight="false" outlineLevel="0" collapsed="false">
      <c r="B294" s="24" t="n">
        <v>45349</v>
      </c>
      <c r="C294" s="38" t="n">
        <v>85.111</v>
      </c>
      <c r="D294" s="38" t="n">
        <v>437.6</v>
      </c>
      <c r="E294" s="23" t="n">
        <f aca="false">C294/C293-1</f>
        <v>-0.028790195586188</v>
      </c>
      <c r="F294" s="23" t="n">
        <f aca="false">D294/D293-1</f>
        <v>0.00240522276944222</v>
      </c>
      <c r="G294" s="23" t="n">
        <f aca="false">E294-$K$7*F294</f>
        <v>-0.0360162300342253</v>
      </c>
    </row>
    <row r="295" customFormat="false" ht="15" hidden="false" customHeight="false" outlineLevel="0" collapsed="false">
      <c r="B295" s="24" t="n">
        <v>45350</v>
      </c>
      <c r="C295" s="38" t="n">
        <v>81.654</v>
      </c>
      <c r="D295" s="38" t="n">
        <v>435.27</v>
      </c>
      <c r="E295" s="23" t="n">
        <f aca="false">C295/C294-1</f>
        <v>-0.0406175464981026</v>
      </c>
      <c r="F295" s="23" t="n">
        <f aca="false">D295/D294-1</f>
        <v>-0.00532449725776973</v>
      </c>
      <c r="G295" s="23" t="n">
        <f aca="false">E295-$K$7*F295</f>
        <v>-0.0246211069616323</v>
      </c>
    </row>
    <row r="296" customFormat="false" ht="15" hidden="false" customHeight="false" outlineLevel="0" collapsed="false">
      <c r="B296" s="24" t="n">
        <v>45351</v>
      </c>
      <c r="C296" s="38" t="n">
        <v>86.612</v>
      </c>
      <c r="D296" s="38" t="n">
        <v>439</v>
      </c>
      <c r="E296" s="23" t="n">
        <f aca="false">C296/C295-1</f>
        <v>0.0607196218188943</v>
      </c>
      <c r="F296" s="23" t="n">
        <f aca="false">D296/D295-1</f>
        <v>0.0085693937096516</v>
      </c>
      <c r="G296" s="23" t="n">
        <f aca="false">E296-$K$7*F296</f>
        <v>0.0349745079228138</v>
      </c>
    </row>
    <row r="297" customFormat="false" ht="15" hidden="false" customHeight="false" outlineLevel="0" collapsed="false">
      <c r="B297" s="24" t="n">
        <v>45352</v>
      </c>
      <c r="C297" s="38" t="n">
        <v>90.548</v>
      </c>
      <c r="D297" s="38" t="n">
        <v>445.61</v>
      </c>
      <c r="E297" s="23" t="n">
        <f aca="false">C297/C296-1</f>
        <v>0.0454440493234194</v>
      </c>
      <c r="F297" s="23" t="n">
        <f aca="false">D297/D296-1</f>
        <v>0.0150569476082005</v>
      </c>
      <c r="G297" s="23" t="n">
        <f aca="false">E297-$K$7*F297</f>
        <v>0.000208313373530319</v>
      </c>
    </row>
    <row r="298" customFormat="false" ht="15" hidden="false" customHeight="false" outlineLevel="0" collapsed="false">
      <c r="B298" s="24" t="n">
        <v>45355</v>
      </c>
      <c r="C298" s="38" t="n">
        <v>107.434</v>
      </c>
      <c r="D298" s="38" t="n">
        <v>444.02</v>
      </c>
      <c r="E298" s="23" t="n">
        <f aca="false">C298/C297-1</f>
        <v>0.186486725272784</v>
      </c>
      <c r="F298" s="23" t="n">
        <f aca="false">D298/D297-1</f>
        <v>-0.00356814254617277</v>
      </c>
      <c r="G298" s="23" t="n">
        <f aca="false">E298-$K$7*F298</f>
        <v>0.19720653105615</v>
      </c>
    </row>
    <row r="299" customFormat="false" ht="15" hidden="false" customHeight="false" outlineLevel="0" collapsed="false">
      <c r="B299" s="24" t="n">
        <v>45356</v>
      </c>
      <c r="C299" s="38" t="n">
        <v>109.083</v>
      </c>
      <c r="D299" s="38" t="n">
        <v>436.05</v>
      </c>
      <c r="E299" s="23" t="n">
        <f aca="false">C299/C298-1</f>
        <v>0.0153489584302922</v>
      </c>
      <c r="F299" s="23" t="n">
        <f aca="false">D299/D298-1</f>
        <v>-0.0179496419080221</v>
      </c>
      <c r="G299" s="23" t="n">
        <f aca="false">E299-$K$7*F299</f>
        <v>0.0692752443465774</v>
      </c>
    </row>
    <row r="300" customFormat="false" ht="15" hidden="false" customHeight="false" outlineLevel="0" collapsed="false">
      <c r="B300" s="24" t="n">
        <v>45357</v>
      </c>
      <c r="C300" s="38" t="n">
        <v>112.47</v>
      </c>
      <c r="D300" s="38" t="n">
        <v>438.79</v>
      </c>
      <c r="E300" s="23" t="n">
        <f aca="false">C300/C299-1</f>
        <v>0.0310497511069552</v>
      </c>
      <c r="F300" s="23" t="n">
        <f aca="false">D300/D299-1</f>
        <v>0.00628368306386884</v>
      </c>
      <c r="G300" s="23" t="n">
        <f aca="false">E300-$K$7*F300</f>
        <v>0.0121716202090865</v>
      </c>
    </row>
    <row r="301" customFormat="false" ht="15" hidden="false" customHeight="false" outlineLevel="0" collapsed="false">
      <c r="B301" s="24" t="n">
        <v>45358</v>
      </c>
      <c r="C301" s="38" t="n">
        <v>115.976</v>
      </c>
      <c r="D301" s="38" t="n">
        <v>445.45</v>
      </c>
      <c r="E301" s="23" t="n">
        <f aca="false">C301/C300-1</f>
        <v>0.0311727571796923</v>
      </c>
      <c r="F301" s="23" t="n">
        <f aca="false">D301/D300-1</f>
        <v>0.0151781034207708</v>
      </c>
      <c r="G301" s="23" t="n">
        <f aca="false">E301-$K$7*F301</f>
        <v>-0.0144269683708006</v>
      </c>
    </row>
    <row r="302" customFormat="false" ht="15" hidden="false" customHeight="false" outlineLevel="0" collapsed="false">
      <c r="B302" s="24" t="n">
        <v>45359</v>
      </c>
      <c r="C302" s="38" t="n">
        <v>114.001</v>
      </c>
      <c r="D302" s="38" t="n">
        <v>439.02</v>
      </c>
      <c r="E302" s="23" t="n">
        <f aca="false">C302/C301-1</f>
        <v>-0.0170293853900807</v>
      </c>
      <c r="F302" s="23" t="n">
        <f aca="false">D302/D301-1</f>
        <v>-0.0144348411718487</v>
      </c>
      <c r="G302" s="23" t="n">
        <f aca="false">E302-$K$7*F302</f>
        <v>0.0263373500678221</v>
      </c>
    </row>
    <row r="303" customFormat="false" ht="15" hidden="false" customHeight="false" outlineLevel="0" collapsed="false">
      <c r="B303" s="24" t="n">
        <v>45362</v>
      </c>
      <c r="C303" s="38" t="n">
        <v>108.022</v>
      </c>
      <c r="D303" s="38" t="n">
        <v>437.39</v>
      </c>
      <c r="E303" s="23" t="n">
        <f aca="false">C303/C302-1</f>
        <v>-0.052446908360453</v>
      </c>
      <c r="F303" s="23" t="n">
        <f aca="false">D303/D302-1</f>
        <v>-0.00371281490592679</v>
      </c>
      <c r="G303" s="23" t="n">
        <f aca="false">E303-$K$7*F303</f>
        <v>-0.0412924619822346</v>
      </c>
    </row>
    <row r="304" customFormat="false" ht="15" hidden="false" customHeight="false" outlineLevel="0" collapsed="false">
      <c r="B304" s="24" t="n">
        <v>45363</v>
      </c>
      <c r="C304" s="38" t="n">
        <v>116.3</v>
      </c>
      <c r="D304" s="38" t="n">
        <v>443.66</v>
      </c>
      <c r="E304" s="23" t="n">
        <f aca="false">C304/C303-1</f>
        <v>0.0766325378163706</v>
      </c>
      <c r="F304" s="23" t="n">
        <f aca="false">D304/D303-1</f>
        <v>0.014335032808249</v>
      </c>
      <c r="G304" s="23" t="n">
        <f aca="false">E304-$K$7*F304</f>
        <v>0.0335656576079426</v>
      </c>
    </row>
    <row r="305" customFormat="false" ht="15" hidden="false" customHeight="false" outlineLevel="0" collapsed="false">
      <c r="B305" s="24" t="n">
        <v>45364</v>
      </c>
      <c r="C305" s="38" t="n">
        <v>118.807</v>
      </c>
      <c r="D305" s="38" t="n">
        <v>440.25</v>
      </c>
      <c r="E305" s="23" t="n">
        <f aca="false">C305/C304-1</f>
        <v>0.0215563198624249</v>
      </c>
      <c r="F305" s="23" t="n">
        <f aca="false">D305/D304-1</f>
        <v>-0.0076860659063247</v>
      </c>
      <c r="G305" s="23" t="n">
        <f aca="false">E305-$K$7*F305</f>
        <v>0.0446476433417327</v>
      </c>
    </row>
    <row r="306" customFormat="false" ht="15" hidden="false" customHeight="false" outlineLevel="0" collapsed="false">
      <c r="B306" s="24" t="n">
        <v>45365</v>
      </c>
      <c r="C306" s="38" t="n">
        <v>113.011</v>
      </c>
      <c r="D306" s="38" t="n">
        <v>439.14</v>
      </c>
      <c r="E306" s="23" t="n">
        <f aca="false">C306/C305-1</f>
        <v>-0.0487850042505914</v>
      </c>
      <c r="F306" s="23" t="n">
        <f aca="false">D306/D305-1</f>
        <v>-0.00252129471890972</v>
      </c>
      <c r="G306" s="23" t="n">
        <f aca="false">E306-$K$7*F306</f>
        <v>-0.0412102537019256</v>
      </c>
    </row>
    <row r="307" customFormat="false" ht="15" hidden="false" customHeight="false" outlineLevel="0" collapsed="false">
      <c r="B307" s="24" t="n">
        <v>45366</v>
      </c>
      <c r="C307" s="38" t="n">
        <v>106.883</v>
      </c>
      <c r="D307" s="38" t="n">
        <v>433.92</v>
      </c>
      <c r="E307" s="23" t="n">
        <f aca="false">C307/C306-1</f>
        <v>-0.0542248099742503</v>
      </c>
      <c r="F307" s="23" t="n">
        <f aca="false">D307/D306-1</f>
        <v>-0.011886869790955</v>
      </c>
      <c r="G307" s="23" t="n">
        <f aca="false">E307-$K$7*F307</f>
        <v>-0.01851297002327</v>
      </c>
    </row>
    <row r="308" customFormat="false" ht="15" hidden="false" customHeight="false" outlineLevel="0" collapsed="false">
      <c r="B308" s="24" t="n">
        <v>45369</v>
      </c>
      <c r="C308" s="38" t="n">
        <v>100.068</v>
      </c>
      <c r="D308" s="38" t="n">
        <v>437.48</v>
      </c>
      <c r="E308" s="23" t="n">
        <f aca="false">C308/C307-1</f>
        <v>-0.0637613090949917</v>
      </c>
      <c r="F308" s="23" t="n">
        <f aca="false">D308/D307-1</f>
        <v>0.00820427728613571</v>
      </c>
      <c r="G308" s="23" t="n">
        <f aca="false">E308-$K$7*F308</f>
        <v>-0.0884095001249704</v>
      </c>
    </row>
    <row r="309" customFormat="false" ht="15" hidden="false" customHeight="false" outlineLevel="0" collapsed="false">
      <c r="B309" s="24" t="n">
        <v>45370</v>
      </c>
      <c r="C309" s="38" t="n">
        <v>91.097</v>
      </c>
      <c r="D309" s="38" t="n">
        <v>438.57</v>
      </c>
      <c r="E309" s="23" t="n">
        <f aca="false">C309/C308-1</f>
        <v>-0.0896490386537155</v>
      </c>
      <c r="F309" s="23" t="n">
        <f aca="false">D309/D308-1</f>
        <v>0.00249154247051298</v>
      </c>
      <c r="G309" s="23" t="n">
        <f aca="false">E309-$K$7*F309</f>
        <v>-0.0971344042295827</v>
      </c>
    </row>
    <row r="310" customFormat="false" ht="15" hidden="false" customHeight="false" outlineLevel="0" collapsed="false">
      <c r="B310" s="24" t="n">
        <v>45371</v>
      </c>
      <c r="C310" s="38" t="n">
        <v>89.647</v>
      </c>
      <c r="D310" s="38" t="n">
        <v>443.77</v>
      </c>
      <c r="E310" s="23" t="n">
        <f aca="false">C310/C309-1</f>
        <v>-0.0159170993556318</v>
      </c>
      <c r="F310" s="23" t="n">
        <f aca="false">D310/D309-1</f>
        <v>0.0118567161456551</v>
      </c>
      <c r="G310" s="23" t="n">
        <f aca="false">E310-$K$7*F310</f>
        <v>-0.0515383484131451</v>
      </c>
    </row>
    <row r="311" customFormat="false" ht="15" hidden="false" customHeight="false" outlineLevel="0" collapsed="false">
      <c r="B311" s="24" t="n">
        <v>45372</v>
      </c>
      <c r="C311" s="38" t="n">
        <v>97.161</v>
      </c>
      <c r="D311" s="38" t="n">
        <v>445.87</v>
      </c>
      <c r="E311" s="23" t="n">
        <f aca="false">C311/C310-1</f>
        <v>0.0838176403002888</v>
      </c>
      <c r="F311" s="23" t="n">
        <f aca="false">D311/D310-1</f>
        <v>0.00473218108479623</v>
      </c>
      <c r="G311" s="23" t="n">
        <f aca="false">E311-$K$7*F311</f>
        <v>0.0696007020742226</v>
      </c>
    </row>
    <row r="312" customFormat="false" ht="15" hidden="false" customHeight="false" outlineLevel="0" collapsed="false">
      <c r="B312" s="24" t="n">
        <v>45373</v>
      </c>
      <c r="C312" s="38" t="n">
        <v>97.274</v>
      </c>
      <c r="D312" s="38" t="n">
        <v>446.38</v>
      </c>
      <c r="E312" s="23" t="n">
        <f aca="false">C312/C311-1</f>
        <v>0.00116301808338726</v>
      </c>
      <c r="F312" s="23" t="n">
        <f aca="false">D312/D311-1</f>
        <v>0.00114383116154926</v>
      </c>
      <c r="G312" s="23" t="n">
        <f aca="false">E312-$K$7*F312</f>
        <v>-0.00227340513740662</v>
      </c>
    </row>
    <row r="313" customFormat="false" ht="15" hidden="false" customHeight="false" outlineLevel="0" collapsed="false">
      <c r="B313" s="24" t="n">
        <v>45376</v>
      </c>
      <c r="C313" s="38" t="n">
        <v>104.279</v>
      </c>
      <c r="D313" s="38" t="n">
        <v>444.76</v>
      </c>
      <c r="E313" s="23" t="n">
        <f aca="false">C313/C312-1</f>
        <v>0.07201307646442</v>
      </c>
      <c r="F313" s="23" t="n">
        <f aca="false">D313/D312-1</f>
        <v>-0.00362919485640034</v>
      </c>
      <c r="G313" s="23" t="n">
        <f aca="false">E313-$K$7*F313</f>
        <v>0.0829163023045238</v>
      </c>
    </row>
    <row r="314" customFormat="false" ht="15" hidden="false" customHeight="false" outlineLevel="0" collapsed="false">
      <c r="B314" s="24" t="n">
        <v>45377</v>
      </c>
      <c r="C314" s="38" t="n">
        <v>102.506</v>
      </c>
      <c r="D314" s="38" t="n">
        <v>443.32</v>
      </c>
      <c r="E314" s="23" t="n">
        <f aca="false">C314/C313-1</f>
        <v>-0.0170024645422376</v>
      </c>
      <c r="F314" s="23" t="n">
        <f aca="false">D314/D313-1</f>
        <v>-0.00323770123212519</v>
      </c>
      <c r="G314" s="23" t="n">
        <f aca="false">E314-$K$7*F314</f>
        <v>-0.0072754068521864</v>
      </c>
    </row>
    <row r="315" customFormat="false" ht="15" hidden="false" customHeight="false" outlineLevel="0" collapsed="false">
      <c r="B315" s="24" t="n">
        <v>45378</v>
      </c>
      <c r="C315" s="38" t="n">
        <v>102.329</v>
      </c>
      <c r="D315" s="38" t="n">
        <v>444.83</v>
      </c>
      <c r="E315" s="23" t="n">
        <f aca="false">C315/C314-1</f>
        <v>-0.00172672819152053</v>
      </c>
      <c r="F315" s="23" t="n">
        <f aca="false">D315/D314-1</f>
        <v>0.00340611747721731</v>
      </c>
      <c r="G315" s="23" t="n">
        <f aca="false">E315-$K$7*F315</f>
        <v>-0.0119597604649269</v>
      </c>
    </row>
    <row r="316" customFormat="false" ht="15" hidden="false" customHeight="false" outlineLevel="0" collapsed="false">
      <c r="B316" s="24" t="n">
        <v>45379</v>
      </c>
      <c r="C316" s="38" t="n">
        <v>101.003</v>
      </c>
      <c r="D316" s="38" t="n">
        <v>444.01</v>
      </c>
      <c r="E316" s="23" t="n">
        <f aca="false">C316/C315-1</f>
        <v>-0.0129582034418395</v>
      </c>
      <c r="F316" s="23" t="n">
        <f aca="false">D316/D315-1</f>
        <v>-0.00184340084976287</v>
      </c>
      <c r="G316" s="23" t="n">
        <f aca="false">E316-$K$7*F316</f>
        <v>-0.00742005611878856</v>
      </c>
    </row>
    <row r="317" customFormat="false" ht="15" hidden="false" customHeight="false" outlineLevel="0" collapsed="false">
      <c r="B317" s="24" t="n">
        <v>45383</v>
      </c>
      <c r="C317" s="38" t="n">
        <v>103.715</v>
      </c>
      <c r="D317" s="38" t="n">
        <v>444.95</v>
      </c>
      <c r="E317" s="23" t="n">
        <f aca="false">C317/C316-1</f>
        <v>0.0268506876033385</v>
      </c>
      <c r="F317" s="23" t="n">
        <f aca="false">D317/D316-1</f>
        <v>0.00211706943537315</v>
      </c>
      <c r="G317" s="23" t="n">
        <f aca="false">E317-$K$7*F317</f>
        <v>0.0204903550540001</v>
      </c>
    </row>
    <row r="318" customFormat="false" ht="15" hidden="false" customHeight="false" outlineLevel="0" collapsed="false">
      <c r="B318" s="24" t="n">
        <v>45384</v>
      </c>
      <c r="C318" s="38" t="n">
        <v>100.991</v>
      </c>
      <c r="D318" s="38" t="n">
        <v>441.11</v>
      </c>
      <c r="E318" s="23" t="n">
        <f aca="false">C318/C317-1</f>
        <v>-0.026264281926433</v>
      </c>
      <c r="F318" s="23" t="n">
        <f aca="false">D318/D317-1</f>
        <v>-0.00863018316664788</v>
      </c>
      <c r="G318" s="23" t="n">
        <f aca="false">E318-$K$7*F318</f>
        <v>-0.000336537666166141</v>
      </c>
    </row>
    <row r="319" customFormat="false" ht="15" hidden="false" customHeight="false" outlineLevel="0" collapsed="false">
      <c r="B319" s="24" t="n">
        <v>45385</v>
      </c>
      <c r="C319" s="38" t="n">
        <v>101.557</v>
      </c>
      <c r="D319" s="38" t="n">
        <v>442.1</v>
      </c>
      <c r="E319" s="23" t="n">
        <f aca="false">C319/C318-1</f>
        <v>0.00560445980334889</v>
      </c>
      <c r="F319" s="23" t="n">
        <f aca="false">D319/D318-1</f>
        <v>0.00224433814694747</v>
      </c>
      <c r="G319" s="23" t="n">
        <f aca="false">E319-$K$7*F319</f>
        <v>-0.00113822738925881</v>
      </c>
    </row>
    <row r="320" customFormat="false" ht="15" hidden="false" customHeight="false" outlineLevel="0" collapsed="false">
      <c r="B320" s="24" t="n">
        <v>45386</v>
      </c>
      <c r="C320" s="38" t="n">
        <v>95.799</v>
      </c>
      <c r="D320" s="38" t="n">
        <v>435.34</v>
      </c>
      <c r="E320" s="23" t="n">
        <f aca="false">C320/C319-1</f>
        <v>-0.0566972242189115</v>
      </c>
      <c r="F320" s="23" t="n">
        <f aca="false">D320/D319-1</f>
        <v>-0.0152906582221218</v>
      </c>
      <c r="G320" s="23" t="n">
        <f aca="false">E320-$K$7*F320</f>
        <v>-0.0107593491705061</v>
      </c>
    </row>
    <row r="321" customFormat="false" ht="15" hidden="false" customHeight="false" outlineLevel="0" collapsed="false">
      <c r="B321" s="24" t="n">
        <v>45387</v>
      </c>
      <c r="C321" s="38" t="n">
        <v>94.802</v>
      </c>
      <c r="D321" s="38" t="n">
        <v>440.47</v>
      </c>
      <c r="E321" s="23" t="n">
        <f aca="false">C321/C320-1</f>
        <v>-0.0104072067558116</v>
      </c>
      <c r="F321" s="23" t="n">
        <f aca="false">D321/D320-1</f>
        <v>0.0117838930491112</v>
      </c>
      <c r="G321" s="23" t="n">
        <f aca="false">E321-$K$7*F321</f>
        <v>-0.0458096726673626</v>
      </c>
    </row>
    <row r="322" customFormat="false" ht="15" hidden="false" customHeight="false" outlineLevel="0" collapsed="false">
      <c r="B322" s="24" t="n">
        <v>45390</v>
      </c>
      <c r="C322" s="38" t="n">
        <v>92.85</v>
      </c>
      <c r="D322" s="38" t="n">
        <v>440.6</v>
      </c>
      <c r="E322" s="23" t="n">
        <f aca="false">C322/C321-1</f>
        <v>-0.0205902829054241</v>
      </c>
      <c r="F322" s="23" t="n">
        <f aca="false">D322/D321-1</f>
        <v>0.000295139283038592</v>
      </c>
      <c r="G322" s="23" t="n">
        <f aca="false">E322-$K$7*F322</f>
        <v>-0.0214769727593957</v>
      </c>
    </row>
    <row r="323" customFormat="false" ht="15" hidden="false" customHeight="false" outlineLevel="0" collapsed="false">
      <c r="B323" s="24" t="n">
        <v>45391</v>
      </c>
      <c r="C323" s="38" t="n">
        <v>90.42</v>
      </c>
      <c r="D323" s="38" t="n">
        <v>442.23</v>
      </c>
      <c r="E323" s="23" t="n">
        <f aca="false">C323/C322-1</f>
        <v>-0.0261712439418416</v>
      </c>
      <c r="F323" s="23" t="n">
        <f aca="false">D323/D322-1</f>
        <v>0.00369950068088976</v>
      </c>
      <c r="G323" s="23" t="n">
        <f aca="false">E323-$K$7*F323</f>
        <v>-0.0372856902626895</v>
      </c>
    </row>
    <row r="324" customFormat="false" ht="15" hidden="false" customHeight="false" outlineLevel="0" collapsed="false">
      <c r="B324" s="24" t="n">
        <v>45392</v>
      </c>
      <c r="C324" s="38" t="n">
        <v>90.854</v>
      </c>
      <c r="D324" s="38" t="n">
        <v>438.37</v>
      </c>
      <c r="E324" s="23" t="n">
        <f aca="false">C324/C323-1</f>
        <v>0.0047998230479982</v>
      </c>
      <c r="F324" s="23" t="n">
        <f aca="false">D324/D323-1</f>
        <v>-0.0087284896999299</v>
      </c>
      <c r="G324" s="23" t="n">
        <f aca="false">E324-$K$7*F324</f>
        <v>0.0310229105941295</v>
      </c>
    </row>
    <row r="325" customFormat="false" ht="15" hidden="false" customHeight="false" outlineLevel="0" collapsed="false">
      <c r="B325" s="24" t="n">
        <v>45393</v>
      </c>
      <c r="C325" s="38" t="n">
        <v>93.728</v>
      </c>
      <c r="D325" s="38" t="n">
        <v>445.37</v>
      </c>
      <c r="E325" s="23" t="n">
        <f aca="false">C325/C324-1</f>
        <v>0.0316331697008387</v>
      </c>
      <c r="F325" s="23" t="n">
        <f aca="false">D325/D324-1</f>
        <v>0.0159682460022355</v>
      </c>
      <c r="G325" s="23" t="n">
        <f aca="false">E325-$K$7*F325</f>
        <v>-0.0163403889868853</v>
      </c>
    </row>
    <row r="326" customFormat="false" ht="15" hidden="false" customHeight="false" outlineLevel="0" collapsed="false">
      <c r="B326" s="24" t="n">
        <v>45394</v>
      </c>
      <c r="C326" s="38" t="n">
        <v>89.849</v>
      </c>
      <c r="D326" s="38" t="n">
        <v>438.27</v>
      </c>
      <c r="E326" s="23" t="n">
        <f aca="false">C326/C325-1</f>
        <v>-0.0413857118470467</v>
      </c>
      <c r="F326" s="23" t="n">
        <f aca="false">D326/D325-1</f>
        <v>-0.0159418011990031</v>
      </c>
      <c r="G326" s="23" t="n">
        <f aca="false">E326-$K$7*F326</f>
        <v>0.00650839845795124</v>
      </c>
    </row>
    <row r="327" customFormat="false" ht="15" hidden="false" customHeight="false" outlineLevel="0" collapsed="false">
      <c r="B327" s="24" t="n">
        <v>45397</v>
      </c>
      <c r="C327" s="38" t="n">
        <v>88.275</v>
      </c>
      <c r="D327" s="38" t="n">
        <v>431.06</v>
      </c>
      <c r="E327" s="23" t="n">
        <f aca="false">C327/C326-1</f>
        <v>-0.0175182806709033</v>
      </c>
      <c r="F327" s="23" t="n">
        <f aca="false">D327/D326-1</f>
        <v>-0.0164510461587606</v>
      </c>
      <c r="G327" s="23" t="n">
        <f aca="false">E327-$K$7*F327</f>
        <v>0.0319057592807152</v>
      </c>
    </row>
    <row r="328" customFormat="false" ht="15" hidden="false" customHeight="false" outlineLevel="0" collapsed="false">
      <c r="B328" s="24" t="n">
        <v>45398</v>
      </c>
      <c r="C328" s="38" t="n">
        <v>97.63</v>
      </c>
      <c r="D328" s="38" t="n">
        <v>431.1</v>
      </c>
      <c r="E328" s="23" t="n">
        <f aca="false">C328/C327-1</f>
        <v>0.105975644293401</v>
      </c>
      <c r="F328" s="23" t="n">
        <f aca="false">D328/D327-1</f>
        <v>9.27945065651858E-005</v>
      </c>
      <c r="G328" s="23" t="n">
        <f aca="false">E328-$K$7*F328</f>
        <v>0.105696860843674</v>
      </c>
    </row>
    <row r="329" customFormat="false" ht="15" hidden="false" customHeight="false" outlineLevel="0" collapsed="false">
      <c r="B329" s="24" t="n">
        <v>45399</v>
      </c>
      <c r="C329" s="38" t="n">
        <v>96.008</v>
      </c>
      <c r="D329" s="38" t="n">
        <v>425.84</v>
      </c>
      <c r="E329" s="23" t="n">
        <f aca="false">C329/C328-1</f>
        <v>-0.0166137457748643</v>
      </c>
      <c r="F329" s="23" t="n">
        <f aca="false">D329/D328-1</f>
        <v>-0.0122013453955</v>
      </c>
      <c r="G329" s="23" t="n">
        <f aca="false">E329-$K$7*F329</f>
        <v>0.0200428763311746</v>
      </c>
    </row>
    <row r="330" customFormat="false" ht="15" hidden="false" customHeight="false" outlineLevel="0" collapsed="false">
      <c r="B330" s="24" t="n">
        <v>45400</v>
      </c>
      <c r="C330" s="38" t="n">
        <v>92.848</v>
      </c>
      <c r="D330" s="38" t="n">
        <v>423.41</v>
      </c>
      <c r="E330" s="23" t="n">
        <f aca="false">C330/C329-1</f>
        <v>-0.03291392383968</v>
      </c>
      <c r="F330" s="23" t="n">
        <f aca="false">D330/D329-1</f>
        <v>-0.00570636858914131</v>
      </c>
      <c r="G330" s="23" t="n">
        <f aca="false">E330-$K$7*F330</f>
        <v>-0.0157702245024683</v>
      </c>
    </row>
    <row r="331" customFormat="false" ht="15" hidden="false" customHeight="false" outlineLevel="0" collapsed="false">
      <c r="B331" s="24" t="n">
        <v>45401</v>
      </c>
      <c r="C331" s="38" t="n">
        <v>71.365</v>
      </c>
      <c r="D331" s="38" t="n">
        <v>414.65</v>
      </c>
      <c r="E331" s="23" t="n">
        <f aca="false">C331/C330-1</f>
        <v>-0.231378166465621</v>
      </c>
      <c r="F331" s="23" t="n">
        <f aca="false">D331/D330-1</f>
        <v>-0.0206891665288964</v>
      </c>
      <c r="G331" s="23" t="n">
        <f aca="false">E331-$K$7*F331</f>
        <v>-0.169221499757508</v>
      </c>
    </row>
    <row r="332" customFormat="false" ht="15" hidden="false" customHeight="false" outlineLevel="0" collapsed="false">
      <c r="B332" s="24" t="n">
        <v>45404</v>
      </c>
      <c r="C332" s="38" t="n">
        <v>71.702</v>
      </c>
      <c r="D332" s="38" t="n">
        <v>418.82</v>
      </c>
      <c r="E332" s="23" t="n">
        <f aca="false">C332/C331-1</f>
        <v>0.00472220276045676</v>
      </c>
      <c r="F332" s="23" t="n">
        <f aca="false">D332/D331-1</f>
        <v>0.0100566743036297</v>
      </c>
      <c r="G332" s="23" t="n">
        <f aca="false">E332-$K$7*F332</f>
        <v>-0.0254911628678636</v>
      </c>
    </row>
    <row r="333" customFormat="false" ht="15" hidden="false" customHeight="false" outlineLevel="0" collapsed="false">
      <c r="B333" s="24" t="n">
        <v>45405</v>
      </c>
      <c r="C333" s="38" t="n">
        <v>76.186</v>
      </c>
      <c r="D333" s="38" t="n">
        <v>425.07</v>
      </c>
      <c r="E333" s="23" t="n">
        <f aca="false">C333/C332-1</f>
        <v>0.0625366098574658</v>
      </c>
      <c r="F333" s="23" t="n">
        <f aca="false">D333/D332-1</f>
        <v>0.0149228785635833</v>
      </c>
      <c r="G333" s="23" t="n">
        <f aca="false">E333-$K$7*F333</f>
        <v>0.0177036588583628</v>
      </c>
    </row>
    <row r="334" customFormat="false" ht="15" hidden="false" customHeight="false" outlineLevel="0" collapsed="false">
      <c r="B334" s="24" t="n">
        <v>45406</v>
      </c>
      <c r="C334" s="38" t="n">
        <v>75.472</v>
      </c>
      <c r="D334" s="38" t="n">
        <v>426.51</v>
      </c>
      <c r="E334" s="23" t="n">
        <f aca="false">C334/C333-1</f>
        <v>-0.0093718005932848</v>
      </c>
      <c r="F334" s="23" t="n">
        <f aca="false">D334/D333-1</f>
        <v>0.00338767732373491</v>
      </c>
      <c r="G334" s="23" t="n">
        <f aca="false">E334-$K$7*F334</f>
        <v>-0.0195494329320224</v>
      </c>
    </row>
    <row r="335" customFormat="false" ht="15" hidden="false" customHeight="false" outlineLevel="0" collapsed="false">
      <c r="B335" s="24" t="n">
        <v>45407</v>
      </c>
      <c r="C335" s="38" t="n">
        <v>78.74</v>
      </c>
      <c r="D335" s="38" t="n">
        <v>424.45</v>
      </c>
      <c r="E335" s="23" t="n">
        <f aca="false">C335/C334-1</f>
        <v>0.0433008267966926</v>
      </c>
      <c r="F335" s="23" t="n">
        <f aca="false">D335/D334-1</f>
        <v>-0.00482989847834747</v>
      </c>
      <c r="G335" s="23" t="n">
        <f aca="false">E335-$K$7*F335</f>
        <v>0.0578113383503293</v>
      </c>
    </row>
    <row r="336" customFormat="false" ht="15" hidden="false" customHeight="false" outlineLevel="0" collapsed="false">
      <c r="B336" s="24" t="n">
        <v>45408</v>
      </c>
      <c r="C336" s="38" t="n">
        <v>85.744</v>
      </c>
      <c r="D336" s="38" t="n">
        <v>431</v>
      </c>
      <c r="E336" s="23" t="n">
        <f aca="false">C336/C335-1</f>
        <v>0.0889509779019559</v>
      </c>
      <c r="F336" s="23" t="n">
        <f aca="false">D336/D335-1</f>
        <v>0.0154317351867121</v>
      </c>
      <c r="G336" s="23" t="n">
        <f aca="false">E336-$K$7*F336</f>
        <v>0.0425892639397893</v>
      </c>
    </row>
    <row r="337" customFormat="false" ht="15" hidden="false" customHeight="false" outlineLevel="0" collapsed="false">
      <c r="B337" s="24" t="n">
        <v>45411</v>
      </c>
      <c r="C337" s="38" t="n">
        <v>89.035</v>
      </c>
      <c r="D337" s="38" t="n">
        <v>432.75</v>
      </c>
      <c r="E337" s="23" t="n">
        <f aca="false">C337/C336-1</f>
        <v>0.0383816943459601</v>
      </c>
      <c r="F337" s="23" t="n">
        <f aca="false">D337/D336-1</f>
        <v>0.00406032482598606</v>
      </c>
      <c r="G337" s="23" t="n">
        <f aca="false">E337-$K$7*F337</f>
        <v>0.026183220493328</v>
      </c>
    </row>
    <row r="338" customFormat="false" ht="15" hidden="false" customHeight="false" outlineLevel="0" collapsed="false">
      <c r="B338" s="24" t="n">
        <v>45412</v>
      </c>
      <c r="C338" s="38" t="n">
        <v>85.88</v>
      </c>
      <c r="D338" s="38" t="n">
        <v>424.59</v>
      </c>
      <c r="E338" s="23" t="n">
        <f aca="false">C338/C337-1</f>
        <v>-0.0354355028921211</v>
      </c>
      <c r="F338" s="23" t="n">
        <f aca="false">D338/D337-1</f>
        <v>-0.0188561525129983</v>
      </c>
      <c r="G338" s="23" t="n">
        <f aca="false">E338-$K$7*F338</f>
        <v>0.0212142217601897</v>
      </c>
    </row>
    <row r="339" customFormat="false" ht="15" hidden="false" customHeight="false" outlineLevel="0" collapsed="false">
      <c r="B339" s="24" t="n">
        <v>45413</v>
      </c>
      <c r="C339" s="38" t="n">
        <v>73.83</v>
      </c>
      <c r="D339" s="38" t="n">
        <v>421.52</v>
      </c>
      <c r="E339" s="23" t="n">
        <f aca="false">C339/C338-1</f>
        <v>-0.140312063344201</v>
      </c>
      <c r="F339" s="23" t="n">
        <f aca="false">D339/D338-1</f>
        <v>-0.00723050472220255</v>
      </c>
      <c r="G339" s="23" t="n">
        <f aca="false">E339-$K$7*F339</f>
        <v>-0.118589386815803</v>
      </c>
    </row>
    <row r="340" customFormat="false" ht="15" hidden="false" customHeight="false" outlineLevel="0" collapsed="false">
      <c r="B340" s="24" t="n">
        <v>45414</v>
      </c>
      <c r="C340" s="38" t="n">
        <v>76.252</v>
      </c>
      <c r="D340" s="38" t="n">
        <v>426.9</v>
      </c>
      <c r="E340" s="23" t="n">
        <f aca="false">C340/C339-1</f>
        <v>0.0328050927807124</v>
      </c>
      <c r="F340" s="23" t="n">
        <f aca="false">D340/D339-1</f>
        <v>0.0127633327007022</v>
      </c>
      <c r="G340" s="23" t="n">
        <f aca="false">E340-$K$7*F340</f>
        <v>-0.00553991331966737</v>
      </c>
    </row>
    <row r="341" customFormat="false" ht="15" hidden="false" customHeight="false" outlineLevel="0" collapsed="false">
      <c r="B341" s="24" t="n">
        <v>45415</v>
      </c>
      <c r="C341" s="38" t="n">
        <v>78.27</v>
      </c>
      <c r="D341" s="38" t="n">
        <v>435.48</v>
      </c>
      <c r="E341" s="23" t="n">
        <f aca="false">C341/C340-1</f>
        <v>0.0264648796097153</v>
      </c>
      <c r="F341" s="23" t="n">
        <f aca="false">D341/D340-1</f>
        <v>0.0200983836964161</v>
      </c>
      <c r="G341" s="23" t="n">
        <f aca="false">E341-$K$7*F341</f>
        <v>-0.0339168924179348</v>
      </c>
    </row>
    <row r="342" customFormat="false" ht="15" hidden="false" customHeight="false" outlineLevel="0" collapsed="false">
      <c r="B342" s="24" t="n">
        <v>45418</v>
      </c>
      <c r="C342" s="38" t="n">
        <v>83.035</v>
      </c>
      <c r="D342" s="38" t="n">
        <v>440.25</v>
      </c>
      <c r="E342" s="23" t="n">
        <f aca="false">C342/C341-1</f>
        <v>0.0608790085601123</v>
      </c>
      <c r="F342" s="23" t="n">
        <f aca="false">D342/D341-1</f>
        <v>0.0109534306971617</v>
      </c>
      <c r="G342" s="23" t="n">
        <f aca="false">E342-$K$7*F342</f>
        <v>0.0279715088692482</v>
      </c>
    </row>
    <row r="343" customFormat="false" ht="15" hidden="false" customHeight="false" outlineLevel="0" collapsed="false">
      <c r="B343" s="24" t="n">
        <v>45419</v>
      </c>
      <c r="C343" s="38" t="n">
        <v>81.929</v>
      </c>
      <c r="D343" s="38" t="n">
        <v>440.32</v>
      </c>
      <c r="E343" s="23" t="n">
        <f aca="false">C343/C342-1</f>
        <v>-0.013319684470404</v>
      </c>
      <c r="F343" s="23" t="n">
        <f aca="false">D343/D342-1</f>
        <v>0.000159000567859113</v>
      </c>
      <c r="G343" s="23" t="n">
        <f aca="false">E343-$K$7*F343</f>
        <v>-0.0137973714419413</v>
      </c>
    </row>
    <row r="344" customFormat="false" ht="15" hidden="false" customHeight="false" outlineLevel="0" collapsed="false">
      <c r="B344" s="24" t="n">
        <v>45420</v>
      </c>
      <c r="C344" s="38" t="n">
        <v>82.264</v>
      </c>
      <c r="D344" s="38" t="n">
        <v>440.06</v>
      </c>
      <c r="E344" s="23" t="n">
        <f aca="false">C344/C343-1</f>
        <v>0.00408890624809288</v>
      </c>
      <c r="F344" s="23" t="n">
        <f aca="false">D344/D343-1</f>
        <v>-0.000590479651162768</v>
      </c>
      <c r="G344" s="23" t="n">
        <f aca="false">E344-$K$7*F344</f>
        <v>0.00586289007793858</v>
      </c>
    </row>
    <row r="345" customFormat="false" ht="15" hidden="false" customHeight="false" outlineLevel="0" collapsed="false">
      <c r="B345" s="24" t="n">
        <v>45421</v>
      </c>
      <c r="C345" s="38" t="n">
        <v>79.97</v>
      </c>
      <c r="D345" s="38" t="n">
        <v>441.02</v>
      </c>
      <c r="E345" s="23" t="n">
        <f aca="false">C345/C344-1</f>
        <v>-0.0278858309831761</v>
      </c>
      <c r="F345" s="23" t="n">
        <f aca="false">D345/D344-1</f>
        <v>0.00218152070172239</v>
      </c>
      <c r="G345" s="23" t="n">
        <f aca="false">E345-$K$7*F345</f>
        <v>-0.0344397951065941</v>
      </c>
    </row>
    <row r="346" customFormat="false" ht="15" hidden="false" customHeight="false" outlineLevel="0" collapsed="false">
      <c r="B346" s="24" t="n">
        <v>45422</v>
      </c>
      <c r="C346" s="38" t="n">
        <v>79.85</v>
      </c>
      <c r="D346" s="38" t="n">
        <v>442.06</v>
      </c>
      <c r="E346" s="23" t="n">
        <f aca="false">C346/C345-1</f>
        <v>-0.00150056271101673</v>
      </c>
      <c r="F346" s="23" t="n">
        <f aca="false">D346/D345-1</f>
        <v>0.00235816969751945</v>
      </c>
      <c r="G346" s="23" t="n">
        <f aca="false">E346-$K$7*F346</f>
        <v>-0.00858523515179228</v>
      </c>
    </row>
    <row r="347" customFormat="false" ht="15" hidden="false" customHeight="false" outlineLevel="0" collapsed="false">
      <c r="B347" s="24" t="n">
        <v>45425</v>
      </c>
      <c r="C347" s="38" t="n">
        <v>78.276</v>
      </c>
      <c r="D347" s="38" t="n">
        <v>443.08</v>
      </c>
      <c r="E347" s="23" t="n">
        <f aca="false">C347/C346-1</f>
        <v>-0.0197119599248591</v>
      </c>
      <c r="F347" s="23" t="n">
        <f aca="false">D347/D346-1</f>
        <v>0.00230737908881151</v>
      </c>
      <c r="G347" s="23" t="n">
        <f aca="false">E347-$K$7*F347</f>
        <v>-0.0266440416398095</v>
      </c>
    </row>
    <row r="348" customFormat="false" ht="15" hidden="false" customHeight="false" outlineLevel="0" collapsed="false">
      <c r="B348" s="24" t="n">
        <v>45426</v>
      </c>
      <c r="C348" s="38" t="n">
        <v>82.237</v>
      </c>
      <c r="D348" s="38" t="n">
        <v>445.93</v>
      </c>
      <c r="E348" s="23" t="n">
        <f aca="false">C348/C347-1</f>
        <v>0.0506029945321682</v>
      </c>
      <c r="F348" s="23" t="n">
        <f aca="false">D348/D347-1</f>
        <v>0.00643224699828471</v>
      </c>
      <c r="G348" s="23" t="n">
        <f aca="false">E348-$K$7*F348</f>
        <v>0.0312785315433747</v>
      </c>
    </row>
    <row r="349" customFormat="false" ht="15" hidden="false" customHeight="false" outlineLevel="0" collapsed="false">
      <c r="B349" s="24" t="n">
        <v>45427</v>
      </c>
      <c r="C349" s="38" t="n">
        <v>95.236</v>
      </c>
      <c r="D349" s="38" t="n">
        <v>452.9</v>
      </c>
      <c r="E349" s="23" t="n">
        <f aca="false">C349/C348-1</f>
        <v>0.15806753651033</v>
      </c>
      <c r="F349" s="23" t="n">
        <f aca="false">D349/D348-1</f>
        <v>0.0156302558697552</v>
      </c>
      <c r="G349" s="23" t="n">
        <f aca="false">E349-$K$7*F349</f>
        <v>0.111109404905464</v>
      </c>
    </row>
    <row r="350" customFormat="false" ht="15" hidden="false" customHeight="false" outlineLevel="0" collapsed="false">
      <c r="B350" s="24" t="n">
        <v>45428</v>
      </c>
      <c r="C350" s="38" t="n">
        <v>90.44</v>
      </c>
      <c r="D350" s="38" t="n">
        <v>451.98</v>
      </c>
      <c r="E350" s="23" t="n">
        <f aca="false">C350/C349-1</f>
        <v>-0.0503591079003739</v>
      </c>
      <c r="F350" s="23" t="n">
        <f aca="false">D350/D349-1</f>
        <v>-0.00203135349966876</v>
      </c>
      <c r="G350" s="23" t="n">
        <f aca="false">E350-$K$7*F350</f>
        <v>-0.0442562925806305</v>
      </c>
    </row>
    <row r="351" customFormat="false" ht="15" hidden="false" customHeight="false" outlineLevel="0" collapsed="false">
      <c r="B351" s="24" t="n">
        <v>45429</v>
      </c>
      <c r="C351" s="38" t="n">
        <v>88.789</v>
      </c>
      <c r="D351" s="38" t="n">
        <v>451.76</v>
      </c>
      <c r="E351" s="23" t="n">
        <f aca="false">C351/C350-1</f>
        <v>-0.0182551968155683</v>
      </c>
      <c r="F351" s="23" t="n">
        <f aca="false">D351/D350-1</f>
        <v>-0.000486747201203674</v>
      </c>
      <c r="G351" s="23" t="n">
        <f aca="false">E351-$K$7*F351</f>
        <v>-0.0167928574064835</v>
      </c>
    </row>
    <row r="352" customFormat="false" ht="15" hidden="false" customHeight="false" outlineLevel="0" collapsed="false">
      <c r="B352" s="24" t="n">
        <v>45432</v>
      </c>
      <c r="C352" s="38" t="n">
        <v>90.394</v>
      </c>
      <c r="D352" s="38" t="n">
        <v>454.91</v>
      </c>
      <c r="E352" s="23" t="n">
        <f aca="false">C352/C351-1</f>
        <v>0.0180765635382762</v>
      </c>
      <c r="F352" s="23" t="n">
        <f aca="false">D352/D351-1</f>
        <v>0.00697272888259271</v>
      </c>
      <c r="G352" s="23" t="n">
        <f aca="false">E352-$K$7*F352</f>
        <v>-0.00287167449712357</v>
      </c>
    </row>
    <row r="353" customFormat="false" ht="15" hidden="false" customHeight="false" outlineLevel="0" collapsed="false">
      <c r="B353" s="24" t="n">
        <v>45433</v>
      </c>
      <c r="C353" s="38" t="n">
        <v>89.895</v>
      </c>
      <c r="D353" s="38" t="n">
        <v>455.8</v>
      </c>
      <c r="E353" s="23" t="n">
        <f aca="false">C353/C352-1</f>
        <v>-0.00552027789455045</v>
      </c>
      <c r="F353" s="23" t="n">
        <f aca="false">D353/D352-1</f>
        <v>0.00195643094238407</v>
      </c>
      <c r="G353" s="23" t="n">
        <f aca="false">E353-$K$7*F353</f>
        <v>-0.0113980026377566</v>
      </c>
    </row>
    <row r="354" customFormat="false" ht="15" hidden="false" customHeight="false" outlineLevel="0" collapsed="false">
      <c r="B354" s="24" t="n">
        <v>45434</v>
      </c>
      <c r="C354" s="38" t="n">
        <v>87.327</v>
      </c>
      <c r="D354" s="38" t="n">
        <v>455.71</v>
      </c>
      <c r="E354" s="23" t="n">
        <f aca="false">C354/C353-1</f>
        <v>-0.0285666611046221</v>
      </c>
      <c r="F354" s="23" t="n">
        <f aca="false">D354/D353-1</f>
        <v>-0.000197455024133486</v>
      </c>
      <c r="G354" s="23" t="n">
        <f aca="false">E354-$K$7*F354</f>
        <v>-0.0279734450314775</v>
      </c>
    </row>
    <row r="355" customFormat="false" ht="15" hidden="false" customHeight="false" outlineLevel="0" collapsed="false">
      <c r="B355" s="24" t="n">
        <v>45435</v>
      </c>
      <c r="C355" s="38" t="n">
        <v>84.738</v>
      </c>
      <c r="D355" s="38" t="n">
        <v>453.66</v>
      </c>
      <c r="E355" s="23" t="n">
        <f aca="false">C355/C354-1</f>
        <v>-0.0296471881548662</v>
      </c>
      <c r="F355" s="23" t="n">
        <f aca="false">D355/D354-1</f>
        <v>-0.00449847490728739</v>
      </c>
      <c r="G355" s="23" t="n">
        <f aca="false">E355-$K$7*F355</f>
        <v>-0.0161323756989588</v>
      </c>
    </row>
    <row r="356" customFormat="false" ht="15" hidden="false" customHeight="false" outlineLevel="0" collapsed="false">
      <c r="B356" s="24" t="n">
        <v>45436</v>
      </c>
      <c r="C356" s="38" t="n">
        <v>88.388</v>
      </c>
      <c r="D356" s="38" t="n">
        <v>457.95</v>
      </c>
      <c r="E356" s="23" t="n">
        <f aca="false">C356/C355-1</f>
        <v>0.0430739455734146</v>
      </c>
      <c r="F356" s="23" t="n">
        <f aca="false">D356/D355-1</f>
        <v>0.00945642110831901</v>
      </c>
      <c r="G356" s="23" t="n">
        <f aca="false">E356-$K$7*F356</f>
        <v>0.0146639265298537</v>
      </c>
    </row>
    <row r="357" customFormat="false" ht="15" hidden="false" customHeight="false" outlineLevel="0" collapsed="false">
      <c r="B357" s="24" t="n">
        <v>45440</v>
      </c>
      <c r="C357" s="38" t="n">
        <v>87.472</v>
      </c>
      <c r="D357" s="38" t="n">
        <v>459.68</v>
      </c>
      <c r="E357" s="23" t="n">
        <f aca="false">C357/C356-1</f>
        <v>-0.0103633977463004</v>
      </c>
      <c r="F357" s="23" t="n">
        <f aca="false">D357/D356-1</f>
        <v>0.00377770498962771</v>
      </c>
      <c r="G357" s="23" t="n">
        <f aca="false">E357-$K$7*F357</f>
        <v>-0.0217127940418886</v>
      </c>
    </row>
    <row r="358" customFormat="false" ht="15" hidden="false" customHeight="false" outlineLevel="0" collapsed="false">
      <c r="B358" s="24" t="n">
        <v>45441</v>
      </c>
      <c r="C358" s="38" t="n">
        <v>83.972</v>
      </c>
      <c r="D358" s="38" t="n">
        <v>456.44</v>
      </c>
      <c r="E358" s="23" t="n">
        <f aca="false">C358/C357-1</f>
        <v>-0.0400128040973111</v>
      </c>
      <c r="F358" s="23" t="n">
        <f aca="false">D358/D357-1</f>
        <v>-0.00704838148277065</v>
      </c>
      <c r="G358" s="23" t="n">
        <f aca="false">E358-$K$7*F358</f>
        <v>-0.0188372822103219</v>
      </c>
    </row>
    <row r="359" customFormat="false" ht="15" hidden="false" customHeight="false" outlineLevel="0" collapsed="false">
      <c r="B359" s="24" t="n">
        <v>45442</v>
      </c>
      <c r="C359" s="38" t="n">
        <v>82.794</v>
      </c>
      <c r="D359" s="38" t="n">
        <v>451.55</v>
      </c>
      <c r="E359" s="23" t="n">
        <f aca="false">C359/C358-1</f>
        <v>-0.0140284856857047</v>
      </c>
      <c r="F359" s="23" t="n">
        <f aca="false">D359/D358-1</f>
        <v>-0.0107133467706598</v>
      </c>
      <c r="G359" s="23" t="n">
        <f aca="false">E359-$K$7*F359</f>
        <v>0.0181577275009056</v>
      </c>
    </row>
    <row r="360" customFormat="false" ht="15" hidden="false" customHeight="false" outlineLevel="0" collapsed="false">
      <c r="B360" s="24" t="n">
        <v>45443</v>
      </c>
      <c r="C360" s="38" t="n">
        <v>78.451</v>
      </c>
      <c r="D360" s="38" t="n">
        <v>450.71</v>
      </c>
      <c r="E360" s="23" t="n">
        <f aca="false">C360/C359-1</f>
        <v>-0.0524554919438609</v>
      </c>
      <c r="F360" s="23" t="n">
        <f aca="false">D360/D359-1</f>
        <v>-0.00186025910751864</v>
      </c>
      <c r="G360" s="23" t="n">
        <f aca="false">E360-$K$7*F360</f>
        <v>-0.046866697191048</v>
      </c>
    </row>
    <row r="361" customFormat="false" ht="15" hidden="false" customHeight="false" outlineLevel="0" collapsed="false">
      <c r="B361" s="24" t="n">
        <v>45446</v>
      </c>
      <c r="C361" s="38" t="n">
        <v>77.059</v>
      </c>
      <c r="D361" s="38" t="n">
        <v>453.13</v>
      </c>
      <c r="E361" s="23" t="n">
        <f aca="false">C361/C360-1</f>
        <v>-0.0177435596741915</v>
      </c>
      <c r="F361" s="23" t="n">
        <f aca="false">D361/D360-1</f>
        <v>0.00536930620576426</v>
      </c>
      <c r="G361" s="23" t="n">
        <f aca="false">E361-$K$7*F361</f>
        <v>-0.0338746191743102</v>
      </c>
    </row>
    <row r="362" customFormat="false" ht="15" hidden="false" customHeight="false" outlineLevel="0" collapsed="false">
      <c r="B362" s="24" t="n">
        <v>45447</v>
      </c>
      <c r="C362" s="38" t="n">
        <v>77.161</v>
      </c>
      <c r="D362" s="38" t="n">
        <v>454.37</v>
      </c>
      <c r="E362" s="23" t="n">
        <f aca="false">C362/C361-1</f>
        <v>0.00132366109085247</v>
      </c>
      <c r="F362" s="23" t="n">
        <f aca="false">D362/D361-1</f>
        <v>0.00273652152803838</v>
      </c>
      <c r="G362" s="23" t="n">
        <f aca="false">E362-$K$7*F362</f>
        <v>-0.00689769747959987</v>
      </c>
    </row>
    <row r="363" customFormat="false" ht="15" hidden="false" customHeight="false" outlineLevel="0" collapsed="false">
      <c r="B363" s="24" t="n">
        <v>45448</v>
      </c>
      <c r="C363" s="38" t="n">
        <v>80.252</v>
      </c>
      <c r="D363" s="38" t="n">
        <v>463.53</v>
      </c>
      <c r="E363" s="23" t="n">
        <f aca="false">C363/C362-1</f>
        <v>0.0400590972123223</v>
      </c>
      <c r="F363" s="23" t="n">
        <f aca="false">D363/D362-1</f>
        <v>0.0201597816757269</v>
      </c>
      <c r="G363" s="23" t="n">
        <f aca="false">E363-$K$7*F363</f>
        <v>-0.020507133369095</v>
      </c>
    </row>
    <row r="364" customFormat="false" ht="15" hidden="false" customHeight="false" outlineLevel="0" collapsed="false">
      <c r="B364" s="24" t="n">
        <v>45449</v>
      </c>
      <c r="C364" s="38" t="n">
        <v>77.792</v>
      </c>
      <c r="D364" s="38" t="n">
        <v>463.37</v>
      </c>
      <c r="E364" s="23" t="n">
        <f aca="false">C364/C363-1</f>
        <v>-0.0306534416587748</v>
      </c>
      <c r="F364" s="23" t="n">
        <f aca="false">D364/D363-1</f>
        <v>-0.000345177226932392</v>
      </c>
      <c r="G364" s="23" t="n">
        <f aca="false">E364-$K$7*F364</f>
        <v>-0.0296164223172899</v>
      </c>
    </row>
    <row r="365" customFormat="false" ht="15" hidden="false" customHeight="false" outlineLevel="0" collapsed="false">
      <c r="B365" s="24" t="n">
        <v>45450</v>
      </c>
      <c r="C365" s="38" t="n">
        <v>76.911</v>
      </c>
      <c r="D365" s="38" t="n">
        <v>462.96</v>
      </c>
      <c r="E365" s="23" t="n">
        <f aca="false">C365/C364-1</f>
        <v>-0.0113250719868367</v>
      </c>
      <c r="F365" s="23" t="n">
        <f aca="false">D365/D364-1</f>
        <v>-0.00088482206444096</v>
      </c>
      <c r="G365" s="23" t="n">
        <f aca="false">E365-$K$7*F365</f>
        <v>-0.00866679234668659</v>
      </c>
    </row>
    <row r="366" customFormat="false" ht="15" hidden="false" customHeight="false" outlineLevel="0" collapsed="false">
      <c r="B366" s="24" t="n">
        <v>45453</v>
      </c>
      <c r="C366" s="38" t="n">
        <v>78.686</v>
      </c>
      <c r="D366" s="38" t="n">
        <v>464.83</v>
      </c>
      <c r="E366" s="23" t="n">
        <f aca="false">C366/C365-1</f>
        <v>0.0230786233438651</v>
      </c>
      <c r="F366" s="23" t="n">
        <f aca="false">D366/D365-1</f>
        <v>0.00403922585104555</v>
      </c>
      <c r="G366" s="23" t="n">
        <f aca="false">E366-$K$7*F366</f>
        <v>0.0109435373493872</v>
      </c>
    </row>
    <row r="367" customFormat="false" ht="15" hidden="false" customHeight="false" outlineLevel="0" collapsed="false">
      <c r="B367" s="24" t="n">
        <v>45454</v>
      </c>
      <c r="C367" s="38" t="n">
        <v>76.761</v>
      </c>
      <c r="D367" s="38" t="n">
        <v>468.02</v>
      </c>
      <c r="E367" s="23" t="n">
        <f aca="false">C367/C366-1</f>
        <v>-0.0244643265638107</v>
      </c>
      <c r="F367" s="23" t="n">
        <f aca="false">D367/D366-1</f>
        <v>0.00686272400662613</v>
      </c>
      <c r="G367" s="23" t="n">
        <f aca="false">E367-$K$7*F367</f>
        <v>-0.0450820758672371</v>
      </c>
    </row>
    <row r="368" customFormat="false" ht="15" hidden="false" customHeight="false" outlineLevel="0" collapsed="false">
      <c r="B368" s="24" t="n">
        <v>45455</v>
      </c>
      <c r="C368" s="38" t="n">
        <v>77.474</v>
      </c>
      <c r="D368" s="38" t="n">
        <v>474.15</v>
      </c>
      <c r="E368" s="23" t="n">
        <f aca="false">C368/C367-1</f>
        <v>0.00928857101913749</v>
      </c>
      <c r="F368" s="23" t="n">
        <f aca="false">D368/D367-1</f>
        <v>0.0130977308662024</v>
      </c>
      <c r="G368" s="23" t="n">
        <f aca="false">E368-$K$7*F368</f>
        <v>-0.0300610707823359</v>
      </c>
    </row>
    <row r="369" customFormat="false" ht="15" hidden="false" customHeight="false" outlineLevel="0" collapsed="false">
      <c r="B369" s="24" t="n">
        <v>45456</v>
      </c>
      <c r="C369" s="38" t="n">
        <v>87.11</v>
      </c>
      <c r="D369" s="38" t="n">
        <v>476.72</v>
      </c>
      <c r="E369" s="23" t="n">
        <f aca="false">C369/C368-1</f>
        <v>0.124377210418979</v>
      </c>
      <c r="F369" s="23" t="n">
        <f aca="false">D369/D368-1</f>
        <v>0.00542022566698308</v>
      </c>
      <c r="G369" s="23" t="n">
        <f aca="false">E369-$K$7*F369</f>
        <v>0.108093173080168</v>
      </c>
    </row>
    <row r="370" customFormat="false" ht="15" hidden="false" customHeight="false" outlineLevel="0" collapsed="false">
      <c r="B370" s="24" t="n">
        <v>45457</v>
      </c>
      <c r="C370" s="38" t="n">
        <v>84.454</v>
      </c>
      <c r="D370" s="38" t="n">
        <v>479.19</v>
      </c>
      <c r="E370" s="23" t="n">
        <f aca="false">C370/C369-1</f>
        <v>-0.0304901848237861</v>
      </c>
      <c r="F370" s="23" t="n">
        <f aca="false">D370/D369-1</f>
        <v>0.00518123846282936</v>
      </c>
      <c r="G370" s="23" t="n">
        <f aca="false">E370-$K$7*F370</f>
        <v>-0.0460562305520921</v>
      </c>
    </row>
    <row r="371" customFormat="false" ht="15" hidden="false" customHeight="false" outlineLevel="0" collapsed="false">
      <c r="B371" s="24" t="n">
        <v>45460</v>
      </c>
      <c r="C371" s="38" t="n">
        <v>88.741</v>
      </c>
      <c r="D371" s="38" t="n">
        <v>485.06</v>
      </c>
      <c r="E371" s="23" t="n">
        <f aca="false">C371/C370-1</f>
        <v>0.0507613612143889</v>
      </c>
      <c r="F371" s="23" t="n">
        <f aca="false">D371/D370-1</f>
        <v>0.0122498382687453</v>
      </c>
      <c r="G371" s="23" t="n">
        <f aca="false">E371-$K$7*F371</f>
        <v>0.0139590514917989</v>
      </c>
    </row>
    <row r="372" customFormat="false" ht="15" hidden="false" customHeight="false" outlineLevel="0" collapsed="false">
      <c r="B372" s="24" t="n">
        <v>45461</v>
      </c>
      <c r="C372" s="38" t="n">
        <v>92.001</v>
      </c>
      <c r="D372" s="38" t="n">
        <v>485.21</v>
      </c>
      <c r="E372" s="23" t="n">
        <f aca="false">C372/C371-1</f>
        <v>0.0367361197191829</v>
      </c>
      <c r="F372" s="23" t="n">
        <f aca="false">D372/D371-1</f>
        <v>0.000309240094009011</v>
      </c>
      <c r="G372" s="23" t="n">
        <f aca="false">E372-$K$7*F372</f>
        <v>0.0358070666599764</v>
      </c>
    </row>
    <row r="373" customFormat="false" ht="15" hidden="false" customHeight="false" outlineLevel="0" collapsed="false">
      <c r="B373" s="24" t="n">
        <v>45463</v>
      </c>
      <c r="C373" s="38" t="n">
        <v>91.7635</v>
      </c>
      <c r="D373" s="38" t="n">
        <v>481.47</v>
      </c>
      <c r="E373" s="23" t="n">
        <f aca="false">C373/C372-1</f>
        <v>-0.00258149367941662</v>
      </c>
      <c r="F373" s="23" t="n">
        <f aca="false">D373/D372-1</f>
        <v>-0.00770800272047145</v>
      </c>
      <c r="G373" s="23" t="n">
        <f aca="false">E373-$K$7*F373</f>
        <v>0.020575734786622</v>
      </c>
    </row>
    <row r="374" customFormat="false" ht="15" hidden="false" customHeight="false" outlineLevel="0" collapsed="false">
      <c r="B374" s="24" t="n">
        <v>45464</v>
      </c>
      <c r="C374" s="38" t="n">
        <v>90.526</v>
      </c>
      <c r="D374" s="38" t="n">
        <v>480.18</v>
      </c>
      <c r="E374" s="23" t="n">
        <f aca="false">C374/C373-1</f>
        <v>-0.0134857541397179</v>
      </c>
      <c r="F374" s="23" t="n">
        <f aca="false">D374/D373-1</f>
        <v>-0.00267929466010353</v>
      </c>
      <c r="G374" s="23" t="n">
        <f aca="false">E374-$K$7*F374</f>
        <v>-0.00543632281205745</v>
      </c>
    </row>
    <row r="375" customFormat="false" ht="15" hidden="false" customHeight="false" outlineLevel="0" collapsed="false">
      <c r="B375" s="24" t="n">
        <v>45467</v>
      </c>
      <c r="C375" s="38" t="n">
        <v>82.698</v>
      </c>
      <c r="D375" s="38" t="n">
        <v>473.96</v>
      </c>
      <c r="E375" s="23" t="n">
        <f aca="false">C375/C374-1</f>
        <v>-0.0864723946711441</v>
      </c>
      <c r="F375" s="23" t="n">
        <f aca="false">D375/D374-1</f>
        <v>-0.0129534757799159</v>
      </c>
      <c r="G375" s="23" t="n">
        <f aca="false">E375-$K$7*F375</f>
        <v>-0.0475561398457355</v>
      </c>
    </row>
    <row r="376" customFormat="false" ht="15" hidden="false" customHeight="false" outlineLevel="0" collapsed="false">
      <c r="B376" s="24" t="n">
        <v>45468</v>
      </c>
      <c r="C376" s="38" t="n">
        <v>84.312</v>
      </c>
      <c r="D376" s="38" t="n">
        <v>479.38</v>
      </c>
      <c r="E376" s="23" t="n">
        <f aca="false">C376/C375-1</f>
        <v>0.0195167960531089</v>
      </c>
      <c r="F376" s="23" t="n">
        <f aca="false">D376/D375-1</f>
        <v>0.0114355641826316</v>
      </c>
      <c r="G376" s="23" t="n">
        <f aca="false">E376-$K$7*F376</f>
        <v>-0.0148391820152344</v>
      </c>
    </row>
    <row r="377" customFormat="false" ht="15" hidden="false" customHeight="false" outlineLevel="0" collapsed="false">
      <c r="B377" s="24" t="n">
        <v>45469</v>
      </c>
      <c r="C377" s="38" t="n">
        <v>83.116</v>
      </c>
      <c r="D377" s="38" t="n">
        <v>480.37</v>
      </c>
      <c r="E377" s="23" t="n">
        <f aca="false">C377/C376-1</f>
        <v>-0.014185406585065</v>
      </c>
      <c r="F377" s="23" t="n">
        <f aca="false">D377/D376-1</f>
        <v>0.00206516750803121</v>
      </c>
      <c r="G377" s="23" t="n">
        <f aca="false">E377-$K$7*F377</f>
        <v>-0.020389809663064</v>
      </c>
    </row>
    <row r="378" customFormat="false" ht="15" hidden="false" customHeight="false" outlineLevel="0" collapsed="false">
      <c r="B378" s="24" t="n">
        <v>45470</v>
      </c>
      <c r="C378" s="38" t="n">
        <v>89.036</v>
      </c>
      <c r="D378" s="38" t="n">
        <v>481.61</v>
      </c>
      <c r="E378" s="23" t="n">
        <f aca="false">C378/C377-1</f>
        <v>0.0712257567736658</v>
      </c>
      <c r="F378" s="23" t="n">
        <f aca="false">D378/D377-1</f>
        <v>0.00258134354768202</v>
      </c>
      <c r="G378" s="23" t="n">
        <f aca="false">E378-$K$7*F378</f>
        <v>0.0634706009374791</v>
      </c>
    </row>
    <row r="379" customFormat="false" ht="15" hidden="false" customHeight="false" outlineLevel="0" collapsed="false">
      <c r="B379" s="24" t="n">
        <v>45471</v>
      </c>
      <c r="C379" s="38" t="n">
        <v>81.935</v>
      </c>
      <c r="D379" s="38" t="n">
        <v>479.11</v>
      </c>
      <c r="E379" s="23" t="n">
        <f aca="false">C379/C378-1</f>
        <v>-0.079754256705153</v>
      </c>
      <c r="F379" s="23" t="n">
        <f aca="false">D379/D378-1</f>
        <v>-0.00519092211540462</v>
      </c>
      <c r="G379" s="23" t="n">
        <f aca="false">E379-$K$7*F379</f>
        <v>-0.06415911828407</v>
      </c>
    </row>
    <row r="380" customFormat="false" ht="15" hidden="false" customHeight="false" outlineLevel="0" collapsed="false">
      <c r="B380" s="24" t="n">
        <v>45474</v>
      </c>
      <c r="C380" s="38" t="n">
        <v>81.232</v>
      </c>
      <c r="D380" s="38" t="n">
        <v>481.92</v>
      </c>
      <c r="E380" s="23" t="n">
        <f aca="false">C380/C379-1</f>
        <v>-0.00857997192896809</v>
      </c>
      <c r="F380" s="23" t="n">
        <f aca="false">D380/D379-1</f>
        <v>0.00586504143098665</v>
      </c>
      <c r="G380" s="23" t="n">
        <f aca="false">E380-$K$7*F380</f>
        <v>-0.026200373647227</v>
      </c>
    </row>
    <row r="381" customFormat="false" ht="15" hidden="false" customHeight="false" outlineLevel="0" collapsed="false">
      <c r="B381" s="24" t="n">
        <v>45475</v>
      </c>
      <c r="C381" s="38" t="n">
        <v>83.717</v>
      </c>
      <c r="D381" s="38" t="n">
        <v>486.98</v>
      </c>
      <c r="E381" s="23" t="n">
        <f aca="false">C381/C380-1</f>
        <v>0.0305913925546581</v>
      </c>
      <c r="F381" s="23" t="n">
        <f aca="false">D381/D380-1</f>
        <v>0.0104996679946878</v>
      </c>
      <c r="G381" s="23" t="n">
        <f aca="false">E381-$K$7*F381</f>
        <v>-0.000952863381420151</v>
      </c>
    </row>
    <row r="382" customFormat="false" ht="15" hidden="false" customHeight="false" outlineLevel="0" collapsed="false">
      <c r="B382" s="24" t="n">
        <v>45476</v>
      </c>
      <c r="C382" s="38" t="n">
        <v>84.7</v>
      </c>
      <c r="D382" s="38" t="n">
        <v>491.04</v>
      </c>
      <c r="E382" s="23" t="n">
        <f aca="false">C382/C381-1</f>
        <v>0.0117419401077441</v>
      </c>
      <c r="F382" s="23" t="n">
        <f aca="false">D382/D381-1</f>
        <v>0.00833709803277349</v>
      </c>
      <c r="G382" s="23" t="n">
        <f aca="false">E382-$K$7*F382</f>
        <v>-0.0133052855991104</v>
      </c>
    </row>
    <row r="383" customFormat="false" ht="15" hidden="false" customHeight="false" outlineLevel="0" collapsed="false">
      <c r="B383" s="24" t="n">
        <v>45478</v>
      </c>
      <c r="C383" s="38" t="n">
        <v>84.658</v>
      </c>
      <c r="D383" s="38" t="n">
        <v>496.16</v>
      </c>
      <c r="E383" s="23" t="n">
        <f aca="false">C383/C382-1</f>
        <v>-0.000495867768595115</v>
      </c>
      <c r="F383" s="23" t="n">
        <f aca="false">D383/D382-1</f>
        <v>0.0104268491365265</v>
      </c>
      <c r="G383" s="23" t="n">
        <f aca="false">E383-$K$7*F383</f>
        <v>-0.0318213532921254</v>
      </c>
    </row>
    <row r="384" customFormat="false" ht="15" hidden="false" customHeight="false" outlineLevel="0" collapsed="false">
      <c r="B384" s="24" t="n">
        <v>45481</v>
      </c>
      <c r="C384" s="38" t="n">
        <v>89.934</v>
      </c>
      <c r="D384" s="38" t="n">
        <v>497.34</v>
      </c>
      <c r="E384" s="23" t="n">
        <f aca="false">C384/C383-1</f>
        <v>0.0623213399796829</v>
      </c>
      <c r="F384" s="23" t="n">
        <f aca="false">D384/D383-1</f>
        <v>0.00237826507578198</v>
      </c>
      <c r="G384" s="23" t="n">
        <f aca="false">E384-$K$7*F384</f>
        <v>0.0551762947961343</v>
      </c>
    </row>
    <row r="385" customFormat="false" ht="15" hidden="false" customHeight="false" outlineLevel="0" collapsed="false">
      <c r="B385" s="24" t="n">
        <v>45482</v>
      </c>
      <c r="C385" s="38" t="n">
        <v>89.561</v>
      </c>
      <c r="D385" s="38" t="n">
        <v>497.77</v>
      </c>
      <c r="E385" s="23" t="n">
        <f aca="false">C385/C384-1</f>
        <v>-0.00414748593412939</v>
      </c>
      <c r="F385" s="23" t="n">
        <f aca="false">D385/D384-1</f>
        <v>0.000864599670245658</v>
      </c>
      <c r="G385" s="23" t="n">
        <f aca="false">E385-$K$7*F385</f>
        <v>-0.00674501123628908</v>
      </c>
    </row>
    <row r="386" customFormat="false" ht="15" hidden="false" customHeight="false" outlineLevel="0" collapsed="false">
      <c r="B386" s="24" t="n">
        <v>45483</v>
      </c>
      <c r="C386" s="38" t="n">
        <v>89.998</v>
      </c>
      <c r="D386" s="38" t="n">
        <v>502.96</v>
      </c>
      <c r="E386" s="23" t="n">
        <f aca="false">C386/C385-1</f>
        <v>0.00487935596967426</v>
      </c>
      <c r="F386" s="23" t="n">
        <f aca="false">D386/D385-1</f>
        <v>0.0104265021998111</v>
      </c>
      <c r="G386" s="23" t="n">
        <f aca="false">E386-$K$7*F386</f>
        <v>-0.0264450872484662</v>
      </c>
    </row>
    <row r="387" customFormat="false" ht="15" hidden="false" customHeight="false" outlineLevel="0" collapsed="false">
      <c r="B387" s="24" t="n">
        <v>45484</v>
      </c>
      <c r="C387" s="38" t="n">
        <v>88.922</v>
      </c>
      <c r="D387" s="38" t="n">
        <v>491.93</v>
      </c>
      <c r="E387" s="23" t="n">
        <f aca="false">C387/C386-1</f>
        <v>-0.0119558212404721</v>
      </c>
      <c r="F387" s="23" t="n">
        <f aca="false">D387/D386-1</f>
        <v>-0.021930173373628</v>
      </c>
      <c r="G387" s="23" t="n">
        <f aca="false">E387-$K$7*F387</f>
        <v>0.0539292145502105</v>
      </c>
    </row>
    <row r="388" customFormat="false" ht="15" hidden="false" customHeight="false" outlineLevel="0" collapsed="false">
      <c r="B388" s="24" t="n">
        <v>45485</v>
      </c>
      <c r="C388" s="38" t="n">
        <v>90.996</v>
      </c>
      <c r="D388" s="38" t="n">
        <v>494.82</v>
      </c>
      <c r="E388" s="23" t="n">
        <f aca="false">C388/C387-1</f>
        <v>0.0233238118800747</v>
      </c>
      <c r="F388" s="23" t="n">
        <f aca="false">D388/D387-1</f>
        <v>0.00587481958815284</v>
      </c>
      <c r="G388" s="23" t="n">
        <f aca="false">E388-$K$7*F388</f>
        <v>0.00567403354796574</v>
      </c>
    </row>
    <row r="389" customFormat="false" ht="15" hidden="false" customHeight="false" outlineLevel="0" collapsed="false">
      <c r="B389" s="24" t="n">
        <v>45488</v>
      </c>
      <c r="C389" s="38" t="n">
        <v>89.768</v>
      </c>
      <c r="D389" s="38" t="n">
        <v>496.15</v>
      </c>
      <c r="E389" s="23" t="n">
        <f aca="false">C389/C388-1</f>
        <v>-0.0134950986856565</v>
      </c>
      <c r="F389" s="23" t="n">
        <f aca="false">D389/D388-1</f>
        <v>0.00268784608544514</v>
      </c>
      <c r="G389" s="23" t="n">
        <f aca="false">E389-$K$7*F389</f>
        <v>-0.021570221144668</v>
      </c>
    </row>
    <row r="390" customFormat="false" ht="15" hidden="false" customHeight="false" outlineLevel="0" collapsed="false">
      <c r="B390" s="24" t="n">
        <v>45489</v>
      </c>
      <c r="C390" s="38" t="n">
        <v>87.696</v>
      </c>
      <c r="D390" s="38" t="n">
        <v>496.34</v>
      </c>
      <c r="E390" s="23" t="n">
        <f aca="false">C390/C389-1</f>
        <v>-0.0230817217716781</v>
      </c>
      <c r="F390" s="23" t="n">
        <f aca="false">D390/D389-1</f>
        <v>0.000382948705028641</v>
      </c>
      <c r="G390" s="23" t="n">
        <f aca="false">E390-$K$7*F390</f>
        <v>-0.0242322183367052</v>
      </c>
    </row>
    <row r="391" customFormat="false" ht="15" hidden="false" customHeight="false" outlineLevel="0" collapsed="false">
      <c r="B391" s="24" t="n">
        <v>45490</v>
      </c>
      <c r="C391" s="38" t="n">
        <v>81.631</v>
      </c>
      <c r="D391" s="38" t="n">
        <v>481.77</v>
      </c>
      <c r="E391" s="23" t="n">
        <f aca="false">C391/C390-1</f>
        <v>-0.0691593687283342</v>
      </c>
      <c r="F391" s="23" t="n">
        <f aca="false">D391/D390-1</f>
        <v>-0.0293548777047992</v>
      </c>
      <c r="G391" s="23" t="n">
        <f aca="false">E391-$K$7*F391</f>
        <v>0.0190317793880587</v>
      </c>
    </row>
    <row r="392" customFormat="false" ht="15" hidden="false" customHeight="false" outlineLevel="0" collapsed="false">
      <c r="B392" s="24" t="n">
        <v>45491</v>
      </c>
      <c r="C392" s="38" t="n">
        <v>80.161</v>
      </c>
      <c r="D392" s="38" t="n">
        <v>479.49</v>
      </c>
      <c r="E392" s="23" t="n">
        <f aca="false">C392/C391-1</f>
        <v>-0.0180078646592593</v>
      </c>
      <c r="F392" s="23" t="n">
        <f aca="false">D392/D391-1</f>
        <v>-0.0047325487265707</v>
      </c>
      <c r="G392" s="23" t="n">
        <f aca="false">E392-$K$7*F392</f>
        <v>-0.0037898219233903</v>
      </c>
    </row>
    <row r="393" customFormat="false" ht="15" hidden="false" customHeight="false" outlineLevel="0" collapsed="false">
      <c r="B393" s="24" t="n">
        <v>45492</v>
      </c>
      <c r="C393" s="38" t="n">
        <v>79.678</v>
      </c>
      <c r="D393" s="38" t="n">
        <v>475.24</v>
      </c>
      <c r="E393" s="23" t="n">
        <f aca="false">C393/C392-1</f>
        <v>-0.00602537393495595</v>
      </c>
      <c r="F393" s="23" t="n">
        <f aca="false">D393/D392-1</f>
        <v>-0.00886358422490563</v>
      </c>
      <c r="G393" s="23" t="n">
        <f aca="false">E393-$K$7*F393</f>
        <v>0.0206035794226995</v>
      </c>
    </row>
    <row r="394" customFormat="false" ht="15" hidden="false" customHeight="false" outlineLevel="0" collapsed="false">
      <c r="B394" s="24" t="n">
        <v>45495</v>
      </c>
      <c r="C394" s="38" t="n">
        <v>78.628</v>
      </c>
      <c r="D394" s="38" t="n">
        <v>482.32</v>
      </c>
      <c r="E394" s="23" t="n">
        <f aca="false">C394/C393-1</f>
        <v>-0.0131780416175105</v>
      </c>
      <c r="F394" s="23" t="n">
        <f aca="false">D394/D393-1</f>
        <v>0.014897735880818</v>
      </c>
      <c r="G394" s="23" t="n">
        <f aca="false">E394-$K$7*F394</f>
        <v>-0.0579354562072269</v>
      </c>
    </row>
    <row r="395" customFormat="false" ht="15" hidden="false" customHeight="false" outlineLevel="0" collapsed="false">
      <c r="B395" s="24" t="n">
        <v>45496</v>
      </c>
      <c r="C395" s="38" t="n">
        <v>78.322</v>
      </c>
      <c r="D395" s="38" t="n">
        <v>480.62</v>
      </c>
      <c r="E395" s="23" t="n">
        <f aca="false">C395/C394-1</f>
        <v>-0.00389174339929788</v>
      </c>
      <c r="F395" s="23" t="n">
        <f aca="false">D395/D394-1</f>
        <v>-0.00352463095040634</v>
      </c>
      <c r="G395" s="23" t="n">
        <f aca="false">E395-$K$7*F395</f>
        <v>0.00669734006849287</v>
      </c>
    </row>
    <row r="396" customFormat="false" ht="15" hidden="false" customHeight="false" outlineLevel="0" collapsed="false">
      <c r="B396" s="24" t="n">
        <v>45497</v>
      </c>
      <c r="C396" s="38" t="n">
        <v>71.156</v>
      </c>
      <c r="D396" s="38" t="n">
        <v>463.38</v>
      </c>
      <c r="E396" s="23" t="n">
        <f aca="false">C396/C395-1</f>
        <v>-0.0914940885064224</v>
      </c>
      <c r="F396" s="23" t="n">
        <f aca="false">D396/D395-1</f>
        <v>-0.0358703341517207</v>
      </c>
      <c r="G396" s="23" t="n">
        <f aca="false">E396-$K$7*F396</f>
        <v>0.0162715095645831</v>
      </c>
    </row>
    <row r="397" customFormat="false" ht="15" hidden="false" customHeight="false" outlineLevel="0" collapsed="false">
      <c r="B397" s="24" t="n">
        <v>45498</v>
      </c>
      <c r="C397" s="38" t="n">
        <v>69.561</v>
      </c>
      <c r="D397" s="38" t="n">
        <v>458.27</v>
      </c>
      <c r="E397" s="23" t="n">
        <f aca="false">C397/C396-1</f>
        <v>-0.0224155376918318</v>
      </c>
      <c r="F397" s="23" t="n">
        <f aca="false">D397/D396-1</f>
        <v>-0.0110276662782166</v>
      </c>
      <c r="G397" s="23" t="n">
        <f aca="false">E397-$K$7*F397</f>
        <v>0.0107149886861184</v>
      </c>
    </row>
    <row r="398" customFormat="false" ht="15" hidden="false" customHeight="false" outlineLevel="0" collapsed="false">
      <c r="B398" s="24" t="n">
        <v>45499</v>
      </c>
      <c r="C398" s="38" t="n">
        <v>71.219</v>
      </c>
      <c r="D398" s="38" t="n">
        <v>462.97</v>
      </c>
      <c r="E398" s="23" t="n">
        <f aca="false">C398/C397-1</f>
        <v>0.0238351950086975</v>
      </c>
      <c r="F398" s="23" t="n">
        <f aca="false">D398/D397-1</f>
        <v>0.0102559626421106</v>
      </c>
      <c r="G398" s="23" t="n">
        <f aca="false">E398-$K$7*F398</f>
        <v>-0.00697689453711234</v>
      </c>
    </row>
    <row r="399" customFormat="false" ht="15" hidden="false" customHeight="false" outlineLevel="0" collapsed="false">
      <c r="B399" s="24" t="n">
        <v>45502</v>
      </c>
      <c r="C399" s="38" t="n">
        <v>69.773</v>
      </c>
      <c r="D399" s="38" t="n">
        <v>463.9</v>
      </c>
      <c r="E399" s="23" t="n">
        <f aca="false">C399/C398-1</f>
        <v>-0.0203035706763646</v>
      </c>
      <c r="F399" s="23" t="n">
        <f aca="false">D399/D398-1</f>
        <v>0.00200876946670392</v>
      </c>
      <c r="G399" s="23" t="n">
        <f aca="false">E399-$K$7*F399</f>
        <v>-0.0263385365635095</v>
      </c>
    </row>
    <row r="400" customFormat="false" ht="15" hidden="false" customHeight="false" outlineLevel="0" collapsed="false">
      <c r="B400" s="24" t="n">
        <v>45503</v>
      </c>
      <c r="C400" s="38" t="n">
        <v>66.631</v>
      </c>
      <c r="D400" s="38" t="n">
        <v>457.53</v>
      </c>
      <c r="E400" s="23" t="n">
        <f aca="false">C400/C399-1</f>
        <v>-0.0450317458042508</v>
      </c>
      <c r="F400" s="23" t="n">
        <f aca="false">D400/D399-1</f>
        <v>-0.0137314076309549</v>
      </c>
      <c r="G400" s="23" t="n">
        <f aca="false">E400-$K$7*F400</f>
        <v>-0.00377834265925557</v>
      </c>
    </row>
    <row r="401" customFormat="false" ht="15" hidden="false" customHeight="false" outlineLevel="0" collapsed="false">
      <c r="B401" s="24" t="n">
        <v>45504</v>
      </c>
      <c r="C401" s="38" t="n">
        <v>70.165</v>
      </c>
      <c r="D401" s="38" t="n">
        <v>471.07</v>
      </c>
      <c r="E401" s="23" t="n">
        <f aca="false">C401/C400-1</f>
        <v>0.053038375530909</v>
      </c>
      <c r="F401" s="23" t="n">
        <f aca="false">D401/D400-1</f>
        <v>0.0295936878456058</v>
      </c>
      <c r="G401" s="23" t="n">
        <f aca="false">E401-$K$7*F401</f>
        <v>-0.0358702322428318</v>
      </c>
    </row>
    <row r="402" customFormat="false" ht="15" hidden="false" customHeight="false" outlineLevel="0" collapsed="false">
      <c r="B402" s="24" t="n">
        <v>45505</v>
      </c>
      <c r="C402" s="38" t="n">
        <v>67.224</v>
      </c>
      <c r="D402" s="38" t="n">
        <v>459.66</v>
      </c>
      <c r="E402" s="23" t="n">
        <f aca="false">C402/C401-1</f>
        <v>-0.0419154849283829</v>
      </c>
      <c r="F402" s="23" t="n">
        <f aca="false">D402/D401-1</f>
        <v>-0.0242214532871972</v>
      </c>
      <c r="G402" s="23" t="n">
        <f aca="false">E402-$K$7*F402</f>
        <v>0.0308532656665571</v>
      </c>
    </row>
    <row r="403" customFormat="false" ht="15" hidden="false" customHeight="false" outlineLevel="0" collapsed="false">
      <c r="B403" s="24" t="n">
        <v>45506</v>
      </c>
      <c r="C403" s="38" t="n">
        <v>62.465</v>
      </c>
      <c r="D403" s="38" t="n">
        <v>448.75</v>
      </c>
      <c r="E403" s="23" t="n">
        <f aca="false">C403/C402-1</f>
        <v>-0.0707931691062715</v>
      </c>
      <c r="F403" s="23" t="n">
        <f aca="false">D403/D402-1</f>
        <v>-0.0237349345168169</v>
      </c>
      <c r="G403" s="23" t="n">
        <f aca="false">E403-$K$7*F403</f>
        <v>0.000513928356555449</v>
      </c>
    </row>
    <row r="404" customFormat="false" ht="15" hidden="false" customHeight="false" outlineLevel="0" collapsed="false">
      <c r="B404" s="24" t="n">
        <v>45509</v>
      </c>
      <c r="C404" s="38" t="n">
        <v>60.883</v>
      </c>
      <c r="D404" s="38" t="n">
        <v>435.37</v>
      </c>
      <c r="E404" s="23" t="n">
        <f aca="false">C404/C403-1</f>
        <v>-0.0253261826622909</v>
      </c>
      <c r="F404" s="23" t="n">
        <f aca="false">D404/D403-1</f>
        <v>-0.0298161559888579</v>
      </c>
      <c r="G404" s="23" t="n">
        <f aca="false">E404-$K$7*F404</f>
        <v>0.0642507883446415</v>
      </c>
    </row>
    <row r="405" customFormat="false" ht="15" hidden="false" customHeight="false" outlineLevel="0" collapsed="false">
      <c r="B405" s="24" t="n">
        <v>45510</v>
      </c>
      <c r="C405" s="38" t="n">
        <v>61.694</v>
      </c>
      <c r="D405" s="38" t="n">
        <v>439.53</v>
      </c>
      <c r="E405" s="23" t="n">
        <f aca="false">C405/C404-1</f>
        <v>0.0133206313749323</v>
      </c>
      <c r="F405" s="23" t="n">
        <f aca="false">D405/D404-1</f>
        <v>0.00955509107196173</v>
      </c>
      <c r="G405" s="23" t="n">
        <f aca="false">E405-$K$7*F405</f>
        <v>-0.015385822811904</v>
      </c>
    </row>
    <row r="406" customFormat="false" ht="15" hidden="false" customHeight="false" outlineLevel="0" collapsed="false">
      <c r="B406" s="24" t="n">
        <v>45511</v>
      </c>
      <c r="C406" s="38" t="n">
        <v>49.27</v>
      </c>
      <c r="D406" s="38" t="n">
        <v>434.77</v>
      </c>
      <c r="E406" s="23" t="n">
        <f aca="false">C406/C405-1</f>
        <v>-0.201381009498493</v>
      </c>
      <c r="F406" s="23" t="n">
        <f aca="false">D406/D405-1</f>
        <v>-0.0108297499601847</v>
      </c>
      <c r="G406" s="23" t="n">
        <f aca="false">E406-$K$7*F406</f>
        <v>-0.168845085063488</v>
      </c>
    </row>
    <row r="407" customFormat="false" ht="15" hidden="false" customHeight="false" outlineLevel="0" collapsed="false">
      <c r="B407" s="24" t="n">
        <v>45512</v>
      </c>
      <c r="C407" s="38" t="n">
        <v>50.994</v>
      </c>
      <c r="D407" s="38" t="n">
        <v>448.07</v>
      </c>
      <c r="E407" s="23" t="n">
        <f aca="false">C407/C406-1</f>
        <v>0.0349908666531358</v>
      </c>
      <c r="F407" s="23" t="n">
        <f aca="false">D407/D406-1</f>
        <v>0.030590887135727</v>
      </c>
      <c r="G407" s="23" t="n">
        <f aca="false">E407-$K$7*F407</f>
        <v>-0.0569136367663314</v>
      </c>
    </row>
    <row r="408" customFormat="false" ht="15" hidden="false" customHeight="false" outlineLevel="0" collapsed="false">
      <c r="B408" s="24" t="n">
        <v>45513</v>
      </c>
      <c r="C408" s="38" t="n">
        <v>50.876</v>
      </c>
      <c r="D408" s="38" t="n">
        <v>450.41</v>
      </c>
      <c r="E408" s="23" t="n">
        <f aca="false">C408/C407-1</f>
        <v>-0.00231399772522267</v>
      </c>
      <c r="F408" s="23" t="n">
        <f aca="false">D408/D407-1</f>
        <v>0.00522239828598226</v>
      </c>
      <c r="G408" s="23" t="n">
        <f aca="false">E408-$K$7*F408</f>
        <v>-0.0180037003154862</v>
      </c>
    </row>
    <row r="409" customFormat="false" ht="15" hidden="false" customHeight="false" outlineLevel="0" collapsed="false">
      <c r="B409" s="24" t="n">
        <v>45516</v>
      </c>
      <c r="C409" s="38" t="n">
        <v>54.098</v>
      </c>
      <c r="D409" s="38" t="n">
        <v>451.38</v>
      </c>
      <c r="E409" s="23" t="n">
        <f aca="false">C409/C408-1</f>
        <v>0.0633304505071153</v>
      </c>
      <c r="F409" s="23" t="n">
        <f aca="false">D409/D408-1</f>
        <v>0.00215359339268661</v>
      </c>
      <c r="G409" s="23" t="n">
        <f aca="false">E409-$K$7*F409</f>
        <v>0.0568603886732055</v>
      </c>
    </row>
    <row r="410" customFormat="false" ht="15" hidden="false" customHeight="false" outlineLevel="0" collapsed="false">
      <c r="B410" s="24" t="n">
        <v>45517</v>
      </c>
      <c r="C410" s="38" t="n">
        <v>56.743</v>
      </c>
      <c r="D410" s="38" t="n">
        <v>462.58</v>
      </c>
      <c r="E410" s="23" t="n">
        <f aca="false">C410/C409-1</f>
        <v>0.0488927501940923</v>
      </c>
      <c r="F410" s="23" t="n">
        <f aca="false">D410/D409-1</f>
        <v>0.0248127963135274</v>
      </c>
      <c r="G410" s="23" t="n">
        <f aca="false">E410-$K$7*F410</f>
        <v>-0.0256525780772098</v>
      </c>
    </row>
    <row r="411" customFormat="false" ht="15" hidden="false" customHeight="false" outlineLevel="0" collapsed="false">
      <c r="B411" s="24" t="n">
        <v>45518</v>
      </c>
      <c r="C411" s="38" t="n">
        <v>57.709</v>
      </c>
      <c r="D411" s="38" t="n">
        <v>462.73</v>
      </c>
      <c r="E411" s="23" t="n">
        <f aca="false">C411/C410-1</f>
        <v>0.0170241263239519</v>
      </c>
      <c r="F411" s="23" t="n">
        <f aca="false">D411/D410-1</f>
        <v>0.000324268234683789</v>
      </c>
      <c r="G411" s="23" t="n">
        <f aca="false">E411-$K$7*F411</f>
        <v>0.0160499240737492</v>
      </c>
    </row>
    <row r="412" customFormat="false" ht="15" hidden="false" customHeight="false" outlineLevel="0" collapsed="false">
      <c r="B412" s="24" t="n">
        <v>45519</v>
      </c>
      <c r="C412" s="38" t="n">
        <v>62.669</v>
      </c>
      <c r="D412" s="38" t="n">
        <v>474.42</v>
      </c>
      <c r="E412" s="23" t="n">
        <f aca="false">C412/C411-1</f>
        <v>0.0859484655772929</v>
      </c>
      <c r="F412" s="23" t="n">
        <f aca="false">D412/D411-1</f>
        <v>0.0252631123981588</v>
      </c>
      <c r="G412" s="23" t="n">
        <f aca="false">E412-$K$7*F412</f>
        <v>0.0100502482591244</v>
      </c>
    </row>
    <row r="413" customFormat="false" ht="15" hidden="false" customHeight="false" outlineLevel="0" collapsed="false">
      <c r="B413" s="24" t="n">
        <v>45520</v>
      </c>
      <c r="C413" s="38" t="n">
        <v>62.88</v>
      </c>
      <c r="D413" s="38" t="n">
        <v>475.03</v>
      </c>
      <c r="E413" s="23" t="n">
        <f aca="false">C413/C412-1</f>
        <v>0.00336689591345007</v>
      </c>
      <c r="F413" s="23" t="n">
        <f aca="false">D413/D412-1</f>
        <v>0.00128578053201789</v>
      </c>
      <c r="G413" s="23" t="n">
        <f aca="false">E413-$K$7*F413</f>
        <v>-0.000495987198674948</v>
      </c>
    </row>
    <row r="414" customFormat="false" ht="15" hidden="false" customHeight="false" outlineLevel="0" collapsed="false">
      <c r="B414" s="24" t="n">
        <v>45523</v>
      </c>
      <c r="C414" s="38" t="n">
        <v>62.362</v>
      </c>
      <c r="D414" s="38" t="n">
        <v>481.27</v>
      </c>
      <c r="E414" s="23" t="n">
        <f aca="false">C414/C413-1</f>
        <v>-0.00823791348600511</v>
      </c>
      <c r="F414" s="23" t="n">
        <f aca="false">D414/D413-1</f>
        <v>0.0131360124623707</v>
      </c>
      <c r="G414" s="23" t="n">
        <f aca="false">E414-$K$7*F414</f>
        <v>-0.0477025650637673</v>
      </c>
    </row>
    <row r="415" customFormat="false" ht="15" hidden="false" customHeight="false" outlineLevel="0" collapsed="false">
      <c r="B415" s="24" t="n">
        <v>45524</v>
      </c>
      <c r="C415" s="38" t="n">
        <v>61.091</v>
      </c>
      <c r="D415" s="38" t="n">
        <v>480.26</v>
      </c>
      <c r="E415" s="23" t="n">
        <f aca="false">C415/C414-1</f>
        <v>-0.0203810012507617</v>
      </c>
      <c r="F415" s="23" t="n">
        <f aca="false">D415/D414-1</f>
        <v>-0.00209861408357048</v>
      </c>
      <c r="G415" s="23" t="n">
        <f aca="false">E415-$K$7*F415</f>
        <v>-0.0140761142965553</v>
      </c>
    </row>
    <row r="416" customFormat="false" ht="15" hidden="false" customHeight="false" outlineLevel="0" collapsed="false">
      <c r="B416" s="24" t="n">
        <v>45525</v>
      </c>
      <c r="C416" s="38" t="n">
        <v>62.378</v>
      </c>
      <c r="D416" s="38" t="n">
        <v>482.5</v>
      </c>
      <c r="E416" s="23" t="n">
        <f aca="false">C416/C415-1</f>
        <v>0.0210669329361117</v>
      </c>
      <c r="F416" s="23" t="n">
        <f aca="false">D416/D415-1</f>
        <v>0.00466414025736062</v>
      </c>
      <c r="G416" s="23" t="n">
        <f aca="false">E416-$K$7*F416</f>
        <v>0.00705441043783974</v>
      </c>
    </row>
    <row r="417" customFormat="false" ht="15" hidden="false" customHeight="false" outlineLevel="0" collapsed="false">
      <c r="B417" s="24" t="n">
        <v>45526</v>
      </c>
      <c r="C417" s="38" t="n">
        <v>60.482</v>
      </c>
      <c r="D417" s="38" t="n">
        <v>474.85</v>
      </c>
      <c r="E417" s="23" t="n">
        <f aca="false">C417/C416-1</f>
        <v>-0.0303953316874537</v>
      </c>
      <c r="F417" s="23" t="n">
        <f aca="false">D417/D416-1</f>
        <v>-0.0158549222797927</v>
      </c>
      <c r="G417" s="23" t="n">
        <f aca="false">E417-$K$7*F417</f>
        <v>0.0172377674251512</v>
      </c>
    </row>
    <row r="418" customFormat="false" ht="15" hidden="false" customHeight="false" outlineLevel="0" collapsed="false">
      <c r="B418" s="24" t="n">
        <v>45527</v>
      </c>
      <c r="C418" s="38" t="n">
        <v>61.324</v>
      </c>
      <c r="D418" s="38" t="n">
        <v>480</v>
      </c>
      <c r="E418" s="23" t="n">
        <f aca="false">C418/C417-1</f>
        <v>0.013921497304983</v>
      </c>
      <c r="F418" s="23" t="n">
        <f aca="false">D418/D417-1</f>
        <v>0.0108455301674213</v>
      </c>
      <c r="G418" s="23" t="n">
        <f aca="false">E418-$K$7*F418</f>
        <v>-0.0186618357619943</v>
      </c>
    </row>
    <row r="419" customFormat="false" ht="15" hidden="false" customHeight="false" outlineLevel="0" collapsed="false">
      <c r="B419" s="24" t="n">
        <v>45530</v>
      </c>
      <c r="C419" s="38" t="n">
        <v>56.251</v>
      </c>
      <c r="D419" s="38" t="n">
        <v>475.34</v>
      </c>
      <c r="E419" s="23" t="n">
        <f aca="false">C419/C418-1</f>
        <v>-0.0827245450394626</v>
      </c>
      <c r="F419" s="23" t="n">
        <f aca="false">D419/D418-1</f>
        <v>-0.00970833333333343</v>
      </c>
      <c r="G419" s="23" t="n">
        <f aca="false">E419-$K$7*F419</f>
        <v>-0.0535577036179653</v>
      </c>
    </row>
    <row r="420" customFormat="false" ht="15" hidden="false" customHeight="false" outlineLevel="0" collapsed="false">
      <c r="B420" s="24" t="n">
        <v>45531</v>
      </c>
      <c r="C420" s="38" t="n">
        <v>54.764</v>
      </c>
      <c r="D420" s="38" t="n">
        <v>476.76</v>
      </c>
      <c r="E420" s="23" t="n">
        <f aca="false">C420/C419-1</f>
        <v>-0.0264350855984782</v>
      </c>
      <c r="F420" s="23" t="n">
        <f aca="false">D420/D419-1</f>
        <v>0.00298733538099039</v>
      </c>
      <c r="G420" s="23" t="n">
        <f aca="false">E420-$K$7*F420</f>
        <v>-0.0354099666968652</v>
      </c>
    </row>
    <row r="421" customFormat="false" ht="15" hidden="false" customHeight="false" outlineLevel="0" collapsed="false">
      <c r="B421" s="24" t="n">
        <v>45532</v>
      </c>
      <c r="C421" s="38" t="n">
        <v>44.349</v>
      </c>
      <c r="D421" s="38" t="n">
        <v>471.35</v>
      </c>
      <c r="E421" s="23" t="n">
        <f aca="false">C421/C420-1</f>
        <v>-0.190179680081806</v>
      </c>
      <c r="F421" s="23" t="n">
        <f aca="false">D421/D420-1</f>
        <v>-0.0113474284755432</v>
      </c>
      <c r="G421" s="23" t="n">
        <f aca="false">E421-$K$7*F421</f>
        <v>-0.156088488986052</v>
      </c>
    </row>
    <row r="422" customFormat="false" ht="15" hidden="false" customHeight="false" outlineLevel="0" collapsed="false">
      <c r="B422" s="24" t="n">
        <v>45533</v>
      </c>
      <c r="C422" s="38" t="n">
        <v>44.882</v>
      </c>
      <c r="D422" s="38" t="n">
        <v>470.66</v>
      </c>
      <c r="E422" s="23" t="n">
        <f aca="false">C422/C421-1</f>
        <v>0.0120183093192632</v>
      </c>
      <c r="F422" s="23" t="n">
        <f aca="false">D422/D421-1</f>
        <v>-0.0014638803436936</v>
      </c>
      <c r="G422" s="23" t="n">
        <f aca="false">E422-$K$7*F422</f>
        <v>0.0164162594491747</v>
      </c>
    </row>
    <row r="423" customFormat="false" ht="15" hidden="false" customHeight="false" outlineLevel="0" collapsed="false">
      <c r="B423" s="24" t="n">
        <v>45534</v>
      </c>
      <c r="C423" s="38" t="n">
        <v>43.77</v>
      </c>
      <c r="D423" s="38" t="n">
        <v>476.27</v>
      </c>
      <c r="E423" s="23" t="n">
        <f aca="false">C423/C422-1</f>
        <v>-0.0247760794973485</v>
      </c>
      <c r="F423" s="23" t="n">
        <f aca="false">D423/D422-1</f>
        <v>0.0119194322865761</v>
      </c>
      <c r="G423" s="23" t="n">
        <f aca="false">E423-$K$7*F423</f>
        <v>-0.0605857472745334</v>
      </c>
    </row>
    <row r="424" customFormat="false" ht="15" hidden="false" customHeight="false" outlineLevel="0" collapsed="false">
      <c r="B424" s="24" t="n">
        <v>45538</v>
      </c>
      <c r="C424" s="38" t="n">
        <v>44.178</v>
      </c>
      <c r="D424" s="38" t="n">
        <v>461.81</v>
      </c>
      <c r="E424" s="23" t="n">
        <f aca="false">C424/C423-1</f>
        <v>0.00932145305003407</v>
      </c>
      <c r="F424" s="23" t="n">
        <f aca="false">D424/D423-1</f>
        <v>-0.0303609297247359</v>
      </c>
      <c r="G424" s="23" t="n">
        <f aca="false">E424-$K$7*F424</f>
        <v>0.100535093155502</v>
      </c>
    </row>
    <row r="425" customFormat="false" ht="15" hidden="false" customHeight="false" outlineLevel="0" collapsed="false">
      <c r="B425" s="24" t="n">
        <v>45539</v>
      </c>
      <c r="C425" s="38" t="n">
        <v>42.347</v>
      </c>
      <c r="D425" s="38" t="n">
        <v>460.61</v>
      </c>
      <c r="E425" s="23" t="n">
        <f aca="false">C425/C424-1</f>
        <v>-0.0414459685816468</v>
      </c>
      <c r="F425" s="23" t="n">
        <f aca="false">D425/D424-1</f>
        <v>-0.00259847123275803</v>
      </c>
      <c r="G425" s="23" t="n">
        <f aca="false">E425-$K$7*F425</f>
        <v>-0.0336393558725473</v>
      </c>
    </row>
    <row r="426" customFormat="false" ht="15" hidden="false" customHeight="false" outlineLevel="0" collapsed="false">
      <c r="B426" s="24" t="n">
        <v>45540</v>
      </c>
      <c r="C426" s="38" t="n">
        <v>41.46</v>
      </c>
      <c r="D426" s="38" t="n">
        <v>461.04</v>
      </c>
      <c r="E426" s="23" t="n">
        <f aca="false">C426/C425-1</f>
        <v>-0.020945993813021</v>
      </c>
      <c r="F426" s="23" t="n">
        <f aca="false">D426/D425-1</f>
        <v>0.000933544647315543</v>
      </c>
      <c r="G426" s="23" t="n">
        <f aca="false">E426-$K$7*F426</f>
        <v>-0.0237506511886234</v>
      </c>
    </row>
    <row r="427" customFormat="false" ht="15" hidden="false" customHeight="false" outlineLevel="0" collapsed="false">
      <c r="B427" s="24" t="n">
        <v>45541</v>
      </c>
      <c r="C427" s="38" t="n">
        <v>38.646</v>
      </c>
      <c r="D427" s="38" t="n">
        <v>448.69</v>
      </c>
      <c r="E427" s="23" t="n">
        <f aca="false">C427/C426-1</f>
        <v>-0.0678726483357452</v>
      </c>
      <c r="F427" s="23" t="n">
        <f aca="false">D427/D426-1</f>
        <v>-0.0267872635779977</v>
      </c>
      <c r="G427" s="23" t="n">
        <f aca="false">E427-$K$7*F427</f>
        <v>0.012604591378792</v>
      </c>
    </row>
    <row r="428" customFormat="false" ht="15" hidden="false" customHeight="false" outlineLevel="0" collapsed="false">
      <c r="B428" s="24" t="n">
        <v>45544</v>
      </c>
      <c r="C428" s="38" t="n">
        <v>40.987</v>
      </c>
      <c r="D428" s="38" t="n">
        <v>454.46</v>
      </c>
      <c r="E428" s="23" t="n">
        <f aca="false">C428/C427-1</f>
        <v>0.0605754799979299</v>
      </c>
      <c r="F428" s="23" t="n">
        <f aca="false">D428/D427-1</f>
        <v>0.0128596581158482</v>
      </c>
      <c r="G428" s="23" t="n">
        <f aca="false">E428-$K$7*F428</f>
        <v>0.0219410825044077</v>
      </c>
    </row>
    <row r="429" customFormat="false" ht="15" hidden="false" customHeight="false" outlineLevel="0" collapsed="false">
      <c r="B429" s="24" t="n">
        <v>45545</v>
      </c>
      <c r="C429" s="38" t="n">
        <v>41.272</v>
      </c>
      <c r="D429" s="38" t="n">
        <v>458.66</v>
      </c>
      <c r="E429" s="23" t="n">
        <f aca="false">C429/C428-1</f>
        <v>0.00695342425647172</v>
      </c>
      <c r="F429" s="23" t="n">
        <f aca="false">D429/D428-1</f>
        <v>0.00924173744664003</v>
      </c>
      <c r="G429" s="23" t="n">
        <f aca="false">E429-$K$7*F429</f>
        <v>-0.0208116185485336</v>
      </c>
    </row>
    <row r="430" customFormat="false" ht="15" hidden="false" customHeight="false" outlineLevel="0" collapsed="false">
      <c r="B430" s="24" t="n">
        <v>45546</v>
      </c>
      <c r="C430" s="38" t="n">
        <v>44.54</v>
      </c>
      <c r="D430" s="38" t="n">
        <v>468.62</v>
      </c>
      <c r="E430" s="23" t="n">
        <f aca="false">C430/C429-1</f>
        <v>0.0791820120178326</v>
      </c>
      <c r="F430" s="23" t="n">
        <f aca="false">D430/D429-1</f>
        <v>0.0217154319103474</v>
      </c>
      <c r="G430" s="23" t="n">
        <f aca="false">E430-$K$7*F430</f>
        <v>0.0139421261196264</v>
      </c>
    </row>
    <row r="431" customFormat="false" ht="15" hidden="false" customHeight="false" outlineLevel="0" collapsed="false">
      <c r="B431" s="24" t="n">
        <v>45547</v>
      </c>
      <c r="C431" s="38" t="n">
        <v>44.213</v>
      </c>
      <c r="D431" s="38" t="n">
        <v>473.22</v>
      </c>
      <c r="E431" s="23" t="n">
        <f aca="false">C431/C430-1</f>
        <v>-0.00734171531207895</v>
      </c>
      <c r="F431" s="23" t="n">
        <f aca="false">D431/D430-1</f>
        <v>0.00981605565276777</v>
      </c>
      <c r="G431" s="23" t="n">
        <f aca="false">E431-$K$7*F431</f>
        <v>-0.0368321879584858</v>
      </c>
    </row>
    <row r="432" customFormat="false" ht="15" hidden="false" customHeight="false" outlineLevel="0" collapsed="false">
      <c r="B432" s="24" t="n">
        <v>45548</v>
      </c>
      <c r="C432" s="38" t="n">
        <v>45.716</v>
      </c>
      <c r="D432" s="38" t="n">
        <v>475.34</v>
      </c>
      <c r="E432" s="23" t="n">
        <f aca="false">C432/C431-1</f>
        <v>0.0339945264967316</v>
      </c>
      <c r="F432" s="23" t="n">
        <f aca="false">D432/D431-1</f>
        <v>0.00447994590253997</v>
      </c>
      <c r="G432" s="23" t="n">
        <f aca="false">E432-$K$7*F432</f>
        <v>0.0205353809122233</v>
      </c>
    </row>
    <row r="433" customFormat="false" ht="15" hidden="false" customHeight="false" outlineLevel="0" collapsed="false">
      <c r="B433" s="24" t="n">
        <v>45551</v>
      </c>
      <c r="C433" s="38" t="n">
        <v>44.91</v>
      </c>
      <c r="D433" s="38" t="n">
        <v>473.24</v>
      </c>
      <c r="E433" s="23" t="n">
        <f aca="false">C433/C432-1</f>
        <v>-0.0176305888529181</v>
      </c>
      <c r="F433" s="23" t="n">
        <f aca="false">D433/D432-1</f>
        <v>-0.00441789035216889</v>
      </c>
      <c r="G433" s="23" t="n">
        <f aca="false">E433-$K$7*F433</f>
        <v>-0.00435787736938804</v>
      </c>
    </row>
    <row r="434" customFormat="false" ht="15" hidden="false" customHeight="false" outlineLevel="0" collapsed="false">
      <c r="B434" s="24" t="n">
        <v>45552</v>
      </c>
      <c r="C434" s="38" t="n">
        <v>43.938</v>
      </c>
      <c r="D434" s="38" t="n">
        <v>473.49</v>
      </c>
      <c r="E434" s="23" t="n">
        <f aca="false">C434/C433-1</f>
        <v>-0.0216432865731462</v>
      </c>
      <c r="F434" s="23" t="n">
        <f aca="false">D434/D433-1</f>
        <v>0.000528273180627092</v>
      </c>
      <c r="G434" s="23" t="n">
        <f aca="false">E434-$K$7*F434</f>
        <v>-0.0232303828910772</v>
      </c>
    </row>
    <row r="435" customFormat="false" ht="15" hidden="false" customHeight="false" outlineLevel="0" collapsed="false">
      <c r="B435" s="24" t="n">
        <v>45553</v>
      </c>
      <c r="C435" s="38" t="n">
        <v>43.688</v>
      </c>
      <c r="D435" s="38" t="n">
        <v>471.44</v>
      </c>
      <c r="E435" s="23" t="n">
        <f aca="false">C435/C434-1</f>
        <v>-0.00568983567754566</v>
      </c>
      <c r="F435" s="23" t="n">
        <f aca="false">D435/D434-1</f>
        <v>-0.00432955289446457</v>
      </c>
      <c r="G435" s="23" t="n">
        <f aca="false">E435-$K$7*F435</f>
        <v>0.00731748271203354</v>
      </c>
    </row>
    <row r="436" customFormat="false" ht="15" hidden="false" customHeight="false" outlineLevel="0" collapsed="false">
      <c r="B436" s="24" t="n">
        <v>45554</v>
      </c>
      <c r="C436" s="38" t="n">
        <v>43.72</v>
      </c>
      <c r="D436" s="38" t="n">
        <v>483.36</v>
      </c>
      <c r="E436" s="23" t="n">
        <f aca="false">C436/C435-1</f>
        <v>0.000732466581212066</v>
      </c>
      <c r="F436" s="23" t="n">
        <f aca="false">D436/D435-1</f>
        <v>0.025284235533684</v>
      </c>
      <c r="G436" s="23" t="n">
        <f aca="false">E436-$K$7*F436</f>
        <v>-0.0752292111809929</v>
      </c>
    </row>
    <row r="437" customFormat="false" ht="15" hidden="false" customHeight="false" outlineLevel="0" collapsed="false">
      <c r="B437" s="24" t="n">
        <v>45555</v>
      </c>
      <c r="C437" s="38" t="n">
        <v>45.727</v>
      </c>
      <c r="D437" s="38" t="n">
        <v>482.44</v>
      </c>
      <c r="E437" s="23" t="n">
        <f aca="false">C437/C436-1</f>
        <v>0.0459057639524245</v>
      </c>
      <c r="F437" s="23" t="n">
        <f aca="false">D437/D436-1</f>
        <v>-0.00190334326381991</v>
      </c>
      <c r="G437" s="23" t="n">
        <f aca="false">E437-$K$7*F437</f>
        <v>0.0516239968602195</v>
      </c>
    </row>
    <row r="438" customFormat="false" ht="15" hidden="false" customHeight="false" outlineLevel="0" collapsed="false">
      <c r="B438" s="24" t="n">
        <v>45558</v>
      </c>
      <c r="C438" s="38" t="n">
        <v>46.594</v>
      </c>
      <c r="D438" s="38" t="n">
        <v>483.04</v>
      </c>
      <c r="E438" s="23" t="n">
        <f aca="false">C438/C437-1</f>
        <v>0.0189603516521968</v>
      </c>
      <c r="F438" s="23" t="n">
        <f aca="false">D438/D437-1</f>
        <v>0.00124367797031755</v>
      </c>
      <c r="G438" s="23" t="n">
        <f aca="false">E438-$K$7*F438</f>
        <v>0.0152239576807295</v>
      </c>
    </row>
    <row r="439" customFormat="false" ht="15" hidden="false" customHeight="false" outlineLevel="0" collapsed="false">
      <c r="B439" s="24" t="n">
        <v>45559</v>
      </c>
      <c r="C439" s="38" t="n">
        <v>46.361</v>
      </c>
      <c r="D439" s="38" t="n">
        <v>485.37</v>
      </c>
      <c r="E439" s="23" t="n">
        <f aca="false">C439/C438-1</f>
        <v>-0.00500064385972454</v>
      </c>
      <c r="F439" s="23" t="n">
        <f aca="false">D439/D438-1</f>
        <v>0.00482361709175216</v>
      </c>
      <c r="G439" s="23" t="n">
        <f aca="false">E439-$K$7*F439</f>
        <v>-0.0194922841817665</v>
      </c>
    </row>
    <row r="440" customFormat="false" ht="15" hidden="false" customHeight="false" outlineLevel="0" collapsed="false">
      <c r="B440" s="24" t="n">
        <v>45560</v>
      </c>
      <c r="C440" s="38" t="n">
        <v>45.815</v>
      </c>
      <c r="D440" s="38" t="n">
        <v>485.82</v>
      </c>
      <c r="E440" s="23" t="n">
        <f aca="false">C440/C439-1</f>
        <v>-0.0117771402687604</v>
      </c>
      <c r="F440" s="23" t="n">
        <f aca="false">D440/D439-1</f>
        <v>0.000927127758205026</v>
      </c>
      <c r="G440" s="23" t="n">
        <f aca="false">E440-$K$7*F440</f>
        <v>-0.0145625193212274</v>
      </c>
    </row>
    <row r="441" customFormat="false" ht="15" hidden="false" customHeight="false" outlineLevel="0" collapsed="false">
      <c r="B441" s="24" t="n">
        <v>45561</v>
      </c>
      <c r="C441" s="38" t="n">
        <v>40.24</v>
      </c>
      <c r="D441" s="38" t="n">
        <v>489.47</v>
      </c>
      <c r="E441" s="23" t="n">
        <f aca="false">C441/C440-1</f>
        <v>-0.121685037651424</v>
      </c>
      <c r="F441" s="23" t="n">
        <f aca="false">D441/D440-1</f>
        <v>0.00751307068461582</v>
      </c>
      <c r="G441" s="23" t="n">
        <f aca="false">E441-$K$7*F441</f>
        <v>-0.144256629882843</v>
      </c>
    </row>
    <row r="442" customFormat="false" ht="15" hidden="false" customHeight="false" outlineLevel="0" collapsed="false">
      <c r="B442" s="24" t="n">
        <v>45562</v>
      </c>
      <c r="C442" s="38" t="n">
        <v>41.974</v>
      </c>
      <c r="D442" s="38" t="n">
        <v>486.75</v>
      </c>
      <c r="E442" s="23" t="n">
        <f aca="false">C442/C441-1</f>
        <v>0.0430914512922465</v>
      </c>
      <c r="F442" s="23" t="n">
        <f aca="false">D442/D441-1</f>
        <v>-0.00555703107442751</v>
      </c>
      <c r="G442" s="23" t="n">
        <f aca="false">E442-$K$7*F442</f>
        <v>0.0597864944636276</v>
      </c>
    </row>
    <row r="443" customFormat="false" ht="15" hidden="false" customHeight="false" outlineLevel="0" collapsed="false">
      <c r="B443" s="24" t="n">
        <v>45565</v>
      </c>
      <c r="C443" s="38" t="n">
        <v>41.64</v>
      </c>
      <c r="D443" s="38" t="n">
        <v>488.07</v>
      </c>
      <c r="E443" s="23" t="n">
        <f aca="false">C443/C442-1</f>
        <v>-0.00795730690427399</v>
      </c>
      <c r="F443" s="23" t="n">
        <f aca="false">D443/D442-1</f>
        <v>0.00271186440677962</v>
      </c>
      <c r="G443" s="23" t="n">
        <f aca="false">E443-$K$7*F443</f>
        <v>-0.0161045878425548</v>
      </c>
    </row>
    <row r="444" customFormat="false" ht="15" hidden="false" customHeight="false" outlineLevel="0" collapsed="false">
      <c r="B444" s="24" t="n">
        <v>45566</v>
      </c>
      <c r="C444" s="38" t="n">
        <v>40.55</v>
      </c>
      <c r="D444" s="38" t="n">
        <v>481.27</v>
      </c>
      <c r="E444" s="23" t="n">
        <f aca="false">C444/C443-1</f>
        <v>-0.0261767531219982</v>
      </c>
      <c r="F444" s="23" t="n">
        <f aca="false">D444/D443-1</f>
        <v>-0.0139324277255312</v>
      </c>
      <c r="G444" s="23" t="n">
        <f aca="false">E444-$K$7*F444</f>
        <v>0.0156805766723745</v>
      </c>
    </row>
    <row r="445" customFormat="false" ht="15" hidden="false" customHeight="false" outlineLevel="0" collapsed="false">
      <c r="B445" s="24" t="n">
        <v>45567</v>
      </c>
      <c r="C445" s="38" t="n">
        <v>42</v>
      </c>
      <c r="D445" s="38" t="n">
        <v>481.95</v>
      </c>
      <c r="E445" s="23" t="n">
        <f aca="false">C445/C444-1</f>
        <v>0.0357583230579532</v>
      </c>
      <c r="F445" s="23" t="n">
        <f aca="false">D445/D444-1</f>
        <v>0.00141292829388906</v>
      </c>
      <c r="G445" s="23" t="n">
        <f aca="false">E445-$K$7*F445</f>
        <v>0.0315134486729429</v>
      </c>
    </row>
    <row r="446" customFormat="false" ht="15" hidden="false" customHeight="false" outlineLevel="0" collapsed="false">
      <c r="B446" s="24" t="n">
        <v>45568</v>
      </c>
      <c r="C446" s="38" t="n">
        <v>41.55</v>
      </c>
      <c r="D446" s="38" t="n">
        <v>481.59</v>
      </c>
      <c r="E446" s="23" t="n">
        <f aca="false">C446/C445-1</f>
        <v>-0.0107142857142858</v>
      </c>
      <c r="F446" s="23" t="n">
        <f aca="false">D446/D445-1</f>
        <v>-0.000746965452847803</v>
      </c>
      <c r="G446" s="23" t="n">
        <f aca="false">E446-$K$7*F446</f>
        <v>-0.00847017004967993</v>
      </c>
    </row>
    <row r="447" customFormat="false" ht="15" hidden="false" customHeight="false" outlineLevel="0" collapsed="false">
      <c r="B447" s="24" t="n">
        <v>45569</v>
      </c>
      <c r="C447" s="38" t="n">
        <v>41.23</v>
      </c>
      <c r="D447" s="38" t="n">
        <v>487.32</v>
      </c>
      <c r="E447" s="23" t="n">
        <f aca="false">C447/C446-1</f>
        <v>-0.0077015643802647</v>
      </c>
      <c r="F447" s="23" t="n">
        <f aca="false">D447/D446-1</f>
        <v>0.0118980875848751</v>
      </c>
      <c r="G447" s="23" t="n">
        <f aca="false">E447-$K$7*F447</f>
        <v>-0.0434471060599695</v>
      </c>
    </row>
    <row r="448" customFormat="false" ht="15" hidden="false" customHeight="false" outlineLevel="0" collapsed="false">
      <c r="B448" s="24" t="n">
        <v>45572</v>
      </c>
      <c r="C448" s="38" t="n">
        <v>47.74</v>
      </c>
      <c r="D448" s="38" t="n">
        <v>482.1</v>
      </c>
      <c r="E448" s="23" t="n">
        <f aca="false">C448/C447-1</f>
        <v>0.157894736842105</v>
      </c>
      <c r="F448" s="23" t="n">
        <f aca="false">D448/D447-1</f>
        <v>-0.0107116473774932</v>
      </c>
      <c r="G448" s="23" t="n">
        <f aca="false">E448-$K$7*F448</f>
        <v>0.190075844525093</v>
      </c>
    </row>
    <row r="449" customFormat="false" ht="15" hidden="false" customHeight="false" outlineLevel="0" collapsed="false">
      <c r="B449" s="24" t="n">
        <v>45573</v>
      </c>
      <c r="C449" s="38" t="n">
        <v>45.35</v>
      </c>
      <c r="D449" s="38" t="n">
        <v>489.3</v>
      </c>
      <c r="E449" s="23" t="n">
        <f aca="false">C449/C448-1</f>
        <v>-0.0500628403854211</v>
      </c>
      <c r="F449" s="23" t="n">
        <f aca="false">D449/D448-1</f>
        <v>0.0149346608587431</v>
      </c>
      <c r="G449" s="23" t="n">
        <f aca="false">E449-$K$7*F449</f>
        <v>-0.0949311890498808</v>
      </c>
    </row>
    <row r="450" customFormat="false" ht="15" hidden="false" customHeight="false" outlineLevel="0" collapsed="false">
      <c r="B450" s="24" t="n">
        <v>45574</v>
      </c>
      <c r="C450" s="38" t="n">
        <v>47.29</v>
      </c>
      <c r="D450" s="38" t="n">
        <v>493.15</v>
      </c>
      <c r="E450" s="23" t="n">
        <f aca="false">C450/C449-1</f>
        <v>0.0427783902976846</v>
      </c>
      <c r="F450" s="23" t="n">
        <f aca="false">D450/D449-1</f>
        <v>0.00786838340486407</v>
      </c>
      <c r="G450" s="23" t="n">
        <f aca="false">E450-$K$7*F450</f>
        <v>0.0191393285624185</v>
      </c>
    </row>
    <row r="451" customFormat="false" ht="15" hidden="false" customHeight="false" outlineLevel="0" collapsed="false">
      <c r="B451" s="24" t="n">
        <v>45575</v>
      </c>
      <c r="C451" s="38" t="n">
        <v>46.47</v>
      </c>
      <c r="D451" s="38" t="n">
        <v>492.59</v>
      </c>
      <c r="E451" s="23" t="n">
        <f aca="false">C451/C450-1</f>
        <v>-0.0173398181433707</v>
      </c>
      <c r="F451" s="23" t="n">
        <f aca="false">D451/D450-1</f>
        <v>-0.00113555713271829</v>
      </c>
      <c r="G451" s="23" t="n">
        <f aca="false">E451-$K$7*F451</f>
        <v>-0.0139282526688597</v>
      </c>
    </row>
    <row r="452" customFormat="false" ht="15" hidden="false" customHeight="false" outlineLevel="0" collapsed="false">
      <c r="B452" s="24" t="n">
        <v>45576</v>
      </c>
      <c r="C452" s="38" t="n">
        <v>47.8</v>
      </c>
      <c r="D452" s="38" t="n">
        <v>493.36</v>
      </c>
      <c r="E452" s="23" t="n">
        <f aca="false">C452/C451-1</f>
        <v>0.0286206154508284</v>
      </c>
      <c r="F452" s="23" t="n">
        <f aca="false">D452/D451-1</f>
        <v>0.00156316612192708</v>
      </c>
      <c r="G452" s="23" t="n">
        <f aca="false">E452-$K$7*F452</f>
        <v>0.0239243800798031</v>
      </c>
    </row>
    <row r="453" customFormat="false" ht="15" hidden="false" customHeight="false" outlineLevel="0" collapsed="false">
      <c r="B453" s="24" t="n">
        <v>45579</v>
      </c>
      <c r="C453" s="38" t="n">
        <v>47.39</v>
      </c>
      <c r="D453" s="38" t="n">
        <v>497.5</v>
      </c>
      <c r="E453" s="23" t="n">
        <f aca="false">C453/C452-1</f>
        <v>-0.00857740585774047</v>
      </c>
      <c r="F453" s="23" t="n">
        <f aca="false">D453/D452-1</f>
        <v>0.00839143830063227</v>
      </c>
      <c r="G453" s="23" t="n">
        <f aca="false">E453-$K$7*F453</f>
        <v>-0.0337878865663569</v>
      </c>
    </row>
    <row r="454" customFormat="false" ht="15" hidden="false" customHeight="false" outlineLevel="0" collapsed="false">
      <c r="B454" s="24" t="n">
        <v>45580</v>
      </c>
      <c r="C454" s="38" t="n">
        <v>47.76</v>
      </c>
      <c r="D454" s="38" t="n">
        <v>490.85</v>
      </c>
      <c r="E454" s="23" t="n">
        <f aca="false">C454/C453-1</f>
        <v>0.00780755433635783</v>
      </c>
      <c r="F454" s="23" t="n">
        <f aca="false">D454/D453-1</f>
        <v>-0.0133668341708543</v>
      </c>
      <c r="G454" s="23" t="n">
        <f aca="false">E454-$K$7*F454</f>
        <v>0.0479656658455857</v>
      </c>
    </row>
    <row r="455" customFormat="false" ht="15" hidden="false" customHeight="false" outlineLevel="0" collapsed="false">
      <c r="B455" s="24" t="n">
        <v>45581</v>
      </c>
      <c r="C455" s="38" t="n">
        <v>48.75</v>
      </c>
      <c r="D455" s="38" t="n">
        <v>490.91</v>
      </c>
      <c r="E455" s="23" t="n">
        <f aca="false">C455/C454-1</f>
        <v>0.0207286432160805</v>
      </c>
      <c r="F455" s="23" t="n">
        <f aca="false">D455/D454-1</f>
        <v>0.0001222369359275</v>
      </c>
      <c r="G455" s="23" t="n">
        <f aca="false">E455-$K$7*F455</f>
        <v>0.0203614055859297</v>
      </c>
    </row>
    <row r="456" customFormat="false" ht="15" hidden="false" customHeight="false" outlineLevel="0" collapsed="false">
      <c r="B456" s="24" t="n">
        <v>45582</v>
      </c>
      <c r="C456" s="38" t="n">
        <v>47.585</v>
      </c>
      <c r="D456" s="38" t="n">
        <v>491.25</v>
      </c>
      <c r="E456" s="23" t="n">
        <f aca="false">C456/C455-1</f>
        <v>-0.0238974358974359</v>
      </c>
      <c r="F456" s="23" t="n">
        <f aca="false">D456/D455-1</f>
        <v>0.000692591310015978</v>
      </c>
      <c r="G456" s="23" t="n">
        <f aca="false">E456-$K$7*F456</f>
        <v>-0.0259781947893648</v>
      </c>
    </row>
    <row r="457" customFormat="false" ht="15" hidden="false" customHeight="false" outlineLevel="0" collapsed="false">
      <c r="B457" s="24" t="n">
        <v>45583</v>
      </c>
      <c r="C457" s="38" t="n">
        <v>47.26</v>
      </c>
      <c r="D457" s="38" t="n">
        <v>494.47</v>
      </c>
      <c r="E457" s="23" t="n">
        <f aca="false">C457/C456-1</f>
        <v>-0.00682988336660717</v>
      </c>
      <c r="F457" s="23" t="n">
        <f aca="false">D457/D456-1</f>
        <v>0.00655470737913499</v>
      </c>
      <c r="G457" s="23" t="n">
        <f aca="false">E457-$K$7*F457</f>
        <v>-0.026522255283333</v>
      </c>
    </row>
    <row r="458" customFormat="false" ht="15" hidden="false" customHeight="false" outlineLevel="0" collapsed="false">
      <c r="B458" s="24" t="n">
        <v>45586</v>
      </c>
      <c r="C458" s="38" t="n">
        <v>47.8</v>
      </c>
      <c r="D458" s="38" t="n">
        <v>495.42</v>
      </c>
      <c r="E458" s="23" t="n">
        <f aca="false">C458/C457-1</f>
        <v>0.011426153195091</v>
      </c>
      <c r="F458" s="23" t="n">
        <f aca="false">D458/D457-1</f>
        <v>0.00192124901409585</v>
      </c>
      <c r="G458" s="23" t="n">
        <f aca="false">E458-$K$7*F458</f>
        <v>0.00565412586544213</v>
      </c>
    </row>
    <row r="459" customFormat="false" ht="15" hidden="false" customHeight="false" outlineLevel="0" collapsed="false">
      <c r="B459" s="24" t="n">
        <v>45587</v>
      </c>
      <c r="C459" s="38" t="n">
        <v>45.97</v>
      </c>
      <c r="D459" s="38" t="n">
        <v>495.96</v>
      </c>
      <c r="E459" s="23" t="n">
        <f aca="false">C459/C458-1</f>
        <v>-0.0382845188284519</v>
      </c>
      <c r="F459" s="23" t="n">
        <f aca="false">D459/D458-1</f>
        <v>0.00108998425578299</v>
      </c>
      <c r="G459" s="23" t="n">
        <f aca="false">E459-$K$7*F459</f>
        <v>-0.041559169260076</v>
      </c>
    </row>
    <row r="460" customFormat="false" ht="15" hidden="false" customHeight="false" outlineLevel="0" collapsed="false">
      <c r="B460" s="24" t="n">
        <v>45588</v>
      </c>
      <c r="C460" s="38" t="n">
        <v>45.36</v>
      </c>
      <c r="D460" s="38" t="n">
        <v>488.36</v>
      </c>
      <c r="E460" s="23" t="n">
        <f aca="false">C460/C459-1</f>
        <v>-0.0132695236023493</v>
      </c>
      <c r="F460" s="23" t="n">
        <f aca="false">D460/D459-1</f>
        <v>-0.0153238164368094</v>
      </c>
      <c r="G460" s="23" t="n">
        <f aca="false">E460-$K$7*F460</f>
        <v>0.0327679689969173</v>
      </c>
    </row>
    <row r="461" customFormat="false" ht="15" hidden="false" customHeight="false" outlineLevel="0" collapsed="false">
      <c r="B461" s="24" t="n">
        <v>45589</v>
      </c>
      <c r="C461" s="38" t="n">
        <v>46.23</v>
      </c>
      <c r="D461" s="38" t="n">
        <v>492.32</v>
      </c>
      <c r="E461" s="23" t="n">
        <f aca="false">C461/C460-1</f>
        <v>0.0191798941798942</v>
      </c>
      <c r="F461" s="23" t="n">
        <f aca="false">D461/D460-1</f>
        <v>0.00810877221721684</v>
      </c>
      <c r="G461" s="23" t="n">
        <f aca="false">E461-$K$7*F461</f>
        <v>-0.00518137003118949</v>
      </c>
    </row>
    <row r="462" customFormat="false" ht="15" hidden="false" customHeight="false" outlineLevel="0" collapsed="false">
      <c r="B462" s="24" t="n">
        <v>45590</v>
      </c>
      <c r="C462" s="38" t="n">
        <v>47.27</v>
      </c>
      <c r="D462" s="38" t="n">
        <v>495.32</v>
      </c>
      <c r="E462" s="23" t="n">
        <f aca="false">C462/C461-1</f>
        <v>0.0224962145792778</v>
      </c>
      <c r="F462" s="23" t="n">
        <f aca="false">D462/D461-1</f>
        <v>0.00609359766005846</v>
      </c>
      <c r="G462" s="23" t="n">
        <f aca="false">E462-$K$7*F462</f>
        <v>0.00418915913165577</v>
      </c>
    </row>
    <row r="463" customFormat="false" ht="15" hidden="false" customHeight="false" outlineLevel="0" collapsed="false">
      <c r="B463" s="24" t="n">
        <v>45593</v>
      </c>
      <c r="C463" s="38" t="n">
        <v>47.72</v>
      </c>
      <c r="D463" s="38" t="n">
        <v>495.4</v>
      </c>
      <c r="E463" s="23" t="n">
        <f aca="false">C463/C462-1</f>
        <v>0.0095197799873068</v>
      </c>
      <c r="F463" s="23" t="n">
        <f aca="false">D463/D462-1</f>
        <v>0.000161511749979804</v>
      </c>
      <c r="G463" s="23" t="n">
        <f aca="false">E463-$K$7*F463</f>
        <v>0.00903454864659922</v>
      </c>
    </row>
    <row r="464" customFormat="false" ht="15" hidden="false" customHeight="false" outlineLevel="0" collapsed="false">
      <c r="B464" s="24" t="n">
        <v>45594</v>
      </c>
      <c r="C464" s="38" t="n">
        <v>49.12</v>
      </c>
      <c r="D464" s="38" t="n">
        <v>500.16</v>
      </c>
      <c r="E464" s="23" t="n">
        <f aca="false">C464/C463-1</f>
        <v>0.0293378038558256</v>
      </c>
      <c r="F464" s="23" t="n">
        <f aca="false">D464/D463-1</f>
        <v>0.00960839725474383</v>
      </c>
      <c r="G464" s="23" t="n">
        <f aca="false">E464-$K$7*F464</f>
        <v>0.000471201379204849</v>
      </c>
    </row>
    <row r="465" customFormat="false" ht="15" hidden="false" customHeight="false" outlineLevel="0" collapsed="false">
      <c r="B465" s="24" t="n">
        <v>45595</v>
      </c>
      <c r="C465" s="38" t="n">
        <v>33.07</v>
      </c>
      <c r="D465" s="38" t="n">
        <v>496.38</v>
      </c>
      <c r="E465" s="23" t="n">
        <f aca="false">C465/C464-1</f>
        <v>-0.326750814332248</v>
      </c>
      <c r="F465" s="23" t="n">
        <f aca="false">D465/D464-1</f>
        <v>-0.00755758157389641</v>
      </c>
      <c r="G465" s="23" t="n">
        <f aca="false">E465-$K$7*F465</f>
        <v>-0.30404549759791</v>
      </c>
    </row>
    <row r="466" customFormat="false" ht="15" hidden="false" customHeight="false" outlineLevel="0" collapsed="false">
      <c r="B466" s="24" t="n">
        <v>45596</v>
      </c>
      <c r="C466" s="38" t="n">
        <v>29.11</v>
      </c>
      <c r="D466" s="38" t="n">
        <v>483.85</v>
      </c>
      <c r="E466" s="23" t="n">
        <f aca="false">C466/C465-1</f>
        <v>-0.119745993347445</v>
      </c>
      <c r="F466" s="23" t="n">
        <f aca="false">D466/D465-1</f>
        <v>-0.0252427575647689</v>
      </c>
      <c r="G466" s="23" t="n">
        <f aca="false">E466-$K$7*F466</f>
        <v>-0.0439089282556432</v>
      </c>
    </row>
    <row r="467" customFormat="false" ht="15" hidden="false" customHeight="false" outlineLevel="0" collapsed="false">
      <c r="B467" s="24" t="n">
        <v>45597</v>
      </c>
      <c r="C467" s="38" t="n">
        <v>26.05</v>
      </c>
      <c r="D467" s="38" t="n">
        <v>487.43</v>
      </c>
      <c r="E467" s="23" t="n">
        <f aca="false">C467/C466-1</f>
        <v>-0.105118515973892</v>
      </c>
      <c r="F467" s="23" t="n">
        <f aca="false">D467/D466-1</f>
        <v>0.0073989872894491</v>
      </c>
      <c r="G467" s="23" t="n">
        <f aca="false">E467-$K$7*F467</f>
        <v>-0.127347366337947</v>
      </c>
    </row>
    <row r="468" customFormat="false" ht="15" hidden="false" customHeight="false" outlineLevel="0" collapsed="false">
      <c r="B468" s="24" t="n">
        <v>45600</v>
      </c>
      <c r="C468" s="38" t="n">
        <v>26.03</v>
      </c>
      <c r="D468" s="38" t="n">
        <v>486.01</v>
      </c>
      <c r="E468" s="23" t="n">
        <f aca="false">C468/C467-1</f>
        <v>-0.000767754318617975</v>
      </c>
      <c r="F468" s="23" t="n">
        <f aca="false">D468/D467-1</f>
        <v>-0.00291323882403627</v>
      </c>
      <c r="G468" s="23" t="n">
        <f aca="false">E468-$K$7*F468</f>
        <v>0.00798451776415773</v>
      </c>
    </row>
    <row r="469" customFormat="false" ht="15" hidden="false" customHeight="false" outlineLevel="0" collapsed="false">
      <c r="B469" s="24" t="n">
        <v>45601</v>
      </c>
      <c r="C469" s="38" t="n">
        <v>27.7</v>
      </c>
      <c r="D469" s="38" t="n">
        <v>492.21</v>
      </c>
      <c r="E469" s="23" t="n">
        <f aca="false">C469/C468-1</f>
        <v>0.0641567422205147</v>
      </c>
      <c r="F469" s="23" t="n">
        <f aca="false">D469/D468-1</f>
        <v>0.0127569391576305</v>
      </c>
      <c r="G469" s="23" t="n">
        <f aca="false">E469-$K$7*F469</f>
        <v>0.0258309443045358</v>
      </c>
    </row>
    <row r="470" customFormat="false" ht="15" hidden="false" customHeight="false" outlineLevel="0" collapsed="false">
      <c r="B470" s="24" t="n">
        <v>45602</v>
      </c>
      <c r="C470" s="38" t="n">
        <v>22.7</v>
      </c>
      <c r="D470" s="38" t="n">
        <v>505.58</v>
      </c>
      <c r="E470" s="23" t="n">
        <f aca="false">C470/C469-1</f>
        <v>-0.180505415162455</v>
      </c>
      <c r="F470" s="23" t="n">
        <f aca="false">D470/D469-1</f>
        <v>0.0271632026980353</v>
      </c>
      <c r="G470" s="23" t="n">
        <f aca="false">E470-$K$7*F470</f>
        <v>-0.262112092476814</v>
      </c>
    </row>
    <row r="471" customFormat="false" ht="15" hidden="false" customHeight="false" outlineLevel="0" collapsed="false">
      <c r="B471" s="24" t="n">
        <v>45603</v>
      </c>
      <c r="C471" s="38" t="n">
        <v>25.48</v>
      </c>
      <c r="D471" s="38" t="n">
        <v>513.54</v>
      </c>
      <c r="E471" s="23" t="n">
        <f aca="false">C471/C470-1</f>
        <v>0.122466960352423</v>
      </c>
      <c r="F471" s="23" t="n">
        <f aca="false">D471/D470-1</f>
        <v>0.0157442936825032</v>
      </c>
      <c r="G471" s="23" t="n">
        <f aca="false">E471-$K$7*F471</f>
        <v>0.075166223823903</v>
      </c>
    </row>
    <row r="472" customFormat="false" ht="15" hidden="false" customHeight="false" outlineLevel="0" collapsed="false">
      <c r="B472" s="24" t="n">
        <v>45604</v>
      </c>
      <c r="C472" s="38" t="n">
        <v>24.52</v>
      </c>
      <c r="D472" s="38" t="n">
        <v>514.14</v>
      </c>
      <c r="E472" s="23" t="n">
        <f aca="false">C472/C471-1</f>
        <v>-0.0376766091051806</v>
      </c>
      <c r="F472" s="23" t="n">
        <f aca="false">D472/D471-1</f>
        <v>0.00116836078981186</v>
      </c>
      <c r="G472" s="23" t="n">
        <f aca="false">E472-$K$7*F472</f>
        <v>-0.0411867269296823</v>
      </c>
    </row>
    <row r="473" customFormat="false" ht="15" hidden="false" customHeight="false" outlineLevel="0" collapsed="false">
      <c r="B473" s="24" t="n">
        <v>45607</v>
      </c>
      <c r="C473" s="38" t="n">
        <v>23.23</v>
      </c>
      <c r="D473" s="38" t="n">
        <v>513.84</v>
      </c>
      <c r="E473" s="23" t="n">
        <f aca="false">C473/C472-1</f>
        <v>-0.0526101141924958</v>
      </c>
      <c r="F473" s="23" t="n">
        <f aca="false">D473/D472-1</f>
        <v>-0.000583498657953041</v>
      </c>
      <c r="G473" s="23" t="n">
        <f aca="false">E473-$K$7*F473</f>
        <v>-0.0508571034292849</v>
      </c>
    </row>
    <row r="474" customFormat="false" ht="15" hidden="false" customHeight="false" outlineLevel="0" collapsed="false">
      <c r="B474" s="24" t="n">
        <v>45608</v>
      </c>
      <c r="C474" s="38" t="n">
        <v>21.7</v>
      </c>
      <c r="D474" s="38" t="n">
        <v>512.91</v>
      </c>
      <c r="E474" s="23" t="n">
        <f aca="false">C474/C473-1</f>
        <v>-0.0658631080499355</v>
      </c>
      <c r="F474" s="23" t="n">
        <f aca="false">D474/D473-1</f>
        <v>-0.00180990191499308</v>
      </c>
      <c r="G474" s="23" t="n">
        <f aca="false">E474-$K$7*F474</f>
        <v>-0.0604256019064436</v>
      </c>
    </row>
    <row r="475" customFormat="false" ht="15" hidden="false" customHeight="false" outlineLevel="0" collapsed="false">
      <c r="B475" s="24" t="n">
        <v>45609</v>
      </c>
      <c r="C475" s="38" t="n">
        <v>20.33</v>
      </c>
      <c r="D475" s="38" t="n">
        <v>512.25</v>
      </c>
      <c r="E475" s="23" t="n">
        <f aca="false">C475/C474-1</f>
        <v>-0.0631336405529954</v>
      </c>
      <c r="F475" s="23" t="n">
        <f aca="false">D475/D474-1</f>
        <v>-0.00128677545768252</v>
      </c>
      <c r="G475" s="23" t="n">
        <f aca="false">E475-$K$7*F475</f>
        <v>-0.0592677683759001</v>
      </c>
    </row>
    <row r="476" customFormat="false" ht="15" hidden="false" customHeight="false" outlineLevel="0" collapsed="false">
      <c r="B476" s="24" t="n">
        <v>45610</v>
      </c>
      <c r="C476" s="38" t="n">
        <v>18.01</v>
      </c>
      <c r="D476" s="38" t="n">
        <v>508.69</v>
      </c>
      <c r="E476" s="23" t="n">
        <f aca="false">C476/C475-1</f>
        <v>-0.114117068371864</v>
      </c>
      <c r="F476" s="23" t="n">
        <f aca="false">D476/D475-1</f>
        <v>-0.00694973157637868</v>
      </c>
      <c r="G476" s="23" t="n">
        <f aca="false">E476-$K$7*F476</f>
        <v>-0.0932379213699543</v>
      </c>
    </row>
    <row r="477" customFormat="false" ht="15" hidden="false" customHeight="false" outlineLevel="0" collapsed="false">
      <c r="B477" s="24" t="n">
        <v>45611</v>
      </c>
      <c r="C477" s="38" t="n">
        <v>18.58</v>
      </c>
      <c r="D477" s="38" t="n">
        <v>496.57</v>
      </c>
      <c r="E477" s="23" t="n">
        <f aca="false">C477/C476-1</f>
        <v>0.0316490838423096</v>
      </c>
      <c r="F477" s="23" t="n">
        <f aca="false">D477/D476-1</f>
        <v>-0.0238259057579272</v>
      </c>
      <c r="G477" s="23" t="n">
        <f aca="false">E477-$K$7*F477</f>
        <v>0.103229487100506</v>
      </c>
    </row>
    <row r="478" customFormat="false" ht="15" hidden="false" customHeight="false" outlineLevel="0" collapsed="false">
      <c r="B478" s="24" t="n">
        <v>45614</v>
      </c>
      <c r="C478" s="38" t="n">
        <v>21.54</v>
      </c>
      <c r="D478" s="38" t="n">
        <v>500.02</v>
      </c>
      <c r="E478" s="23" t="n">
        <f aca="false">C478/C477-1</f>
        <v>0.159311087190527</v>
      </c>
      <c r="F478" s="23" t="n">
        <f aca="false">D478/D477-1</f>
        <v>0.00694766095414545</v>
      </c>
      <c r="G478" s="23" t="n">
        <f aca="false">E478-$K$7*F478</f>
        <v>0.13843816097938</v>
      </c>
    </row>
    <row r="479" customFormat="false" ht="15" hidden="false" customHeight="false" outlineLevel="0" collapsed="false">
      <c r="B479" s="24" t="n">
        <v>45615</v>
      </c>
      <c r="C479" s="38" t="n">
        <v>28.27</v>
      </c>
      <c r="D479" s="38" t="n">
        <v>503.46</v>
      </c>
      <c r="E479" s="23" t="n">
        <f aca="false">C479/C478-1</f>
        <v>0.312441968430826</v>
      </c>
      <c r="F479" s="23" t="n">
        <f aca="false">D479/D478-1</f>
        <v>0.00687972481100752</v>
      </c>
      <c r="G479" s="23" t="n">
        <f aca="false">E479-$K$7*F479</f>
        <v>0.291773143443407</v>
      </c>
    </row>
    <row r="480" customFormat="false" ht="15" hidden="false" customHeight="false" outlineLevel="0" collapsed="false">
      <c r="B480" s="24" t="n">
        <v>45616</v>
      </c>
      <c r="C480" s="38" t="n">
        <v>25.8</v>
      </c>
      <c r="D480" s="38" t="n">
        <v>503.17</v>
      </c>
      <c r="E480" s="23" t="n">
        <f aca="false">C480/C479-1</f>
        <v>-0.0873717721966749</v>
      </c>
      <c r="F480" s="23" t="n">
        <f aca="false">D480/D479-1</f>
        <v>-0.000576013983235924</v>
      </c>
      <c r="G480" s="23" t="n">
        <f aca="false">E480-$K$7*F480</f>
        <v>-0.0856412477154107</v>
      </c>
    </row>
    <row r="481" customFormat="false" ht="15" hidden="false" customHeight="false" outlineLevel="0" collapsed="false">
      <c r="B481" s="24" t="n">
        <v>45617</v>
      </c>
      <c r="C481" s="38" t="n">
        <v>29.7</v>
      </c>
      <c r="D481" s="38" t="n">
        <v>504.98</v>
      </c>
      <c r="E481" s="23" t="n">
        <f aca="false">C481/C480-1</f>
        <v>0.151162790697674</v>
      </c>
      <c r="F481" s="23" t="n">
        <f aca="false">D481/D480-1</f>
        <v>0.00359719379136281</v>
      </c>
      <c r="G481" s="23" t="n">
        <f aca="false">E481-$K$7*F481</f>
        <v>0.140355705972345</v>
      </c>
    </row>
    <row r="482" customFormat="false" ht="15" hidden="false" customHeight="false" outlineLevel="0" collapsed="false">
      <c r="B482" s="24" t="n">
        <v>45618</v>
      </c>
      <c r="C482" s="38" t="n">
        <v>33.15</v>
      </c>
      <c r="D482" s="38" t="n">
        <v>505.79</v>
      </c>
      <c r="E482" s="23" t="n">
        <f aca="false">C482/C481-1</f>
        <v>0.116161616161616</v>
      </c>
      <c r="F482" s="23" t="n">
        <f aca="false">D482/D481-1</f>
        <v>0.00160402392173942</v>
      </c>
      <c r="G482" s="23" t="n">
        <f aca="false">E482-$K$7*F482</f>
        <v>0.111342631300329</v>
      </c>
    </row>
    <row r="483" customFormat="false" ht="15" hidden="false" customHeight="false" outlineLevel="0" collapsed="false">
      <c r="B483" s="24" t="n">
        <v>45621</v>
      </c>
      <c r="C483" s="38" t="n">
        <v>38.41</v>
      </c>
      <c r="D483" s="38" t="n">
        <v>506.59</v>
      </c>
      <c r="E483" s="23" t="n">
        <f aca="false">C483/C482-1</f>
        <v>0.15867269984917</v>
      </c>
      <c r="F483" s="23" t="n">
        <f aca="false">D483/D482-1</f>
        <v>0.0015816840981433</v>
      </c>
      <c r="G483" s="23" t="n">
        <f aca="false">E483-$K$7*F483</f>
        <v>0.153920830739871</v>
      </c>
    </row>
    <row r="484" customFormat="false" ht="15" hidden="false" customHeight="false" outlineLevel="0" collapsed="false">
      <c r="B484" s="24" t="n">
        <v>45622</v>
      </c>
      <c r="C484" s="38" t="n">
        <v>34.43</v>
      </c>
      <c r="D484" s="38" t="n">
        <v>509.31</v>
      </c>
      <c r="E484" s="23" t="n">
        <f aca="false">C484/C483-1</f>
        <v>-0.103618849258006</v>
      </c>
      <c r="F484" s="23" t="n">
        <f aca="false">D484/D483-1</f>
        <v>0.00536923350243801</v>
      </c>
      <c r="G484" s="23" t="n">
        <f aca="false">E484-$K$7*F484</f>
        <v>-0.119749690334806</v>
      </c>
    </row>
    <row r="485" customFormat="false" ht="15" hidden="false" customHeight="false" outlineLevel="0" collapsed="false">
      <c r="B485" s="24" t="n">
        <v>45623</v>
      </c>
      <c r="C485" s="38" t="n">
        <v>35.07</v>
      </c>
      <c r="D485" s="38" t="n">
        <v>505.3</v>
      </c>
      <c r="E485" s="23" t="n">
        <f aca="false">C485/C484-1</f>
        <v>0.01858844031368</v>
      </c>
      <c r="F485" s="23" t="n">
        <f aca="false">D485/D484-1</f>
        <v>-0.00787339734150128</v>
      </c>
      <c r="G485" s="23" t="n">
        <f aca="false">E485-$K$7*F485</f>
        <v>0.0422425654681525</v>
      </c>
    </row>
    <row r="486" customFormat="false" ht="15" hidden="false" customHeight="false" outlineLevel="0" collapsed="false">
      <c r="B486" s="24" t="n">
        <v>45625</v>
      </c>
      <c r="C486" s="38" t="n">
        <v>32.64</v>
      </c>
      <c r="D486" s="38" t="n">
        <v>509.74</v>
      </c>
      <c r="E486" s="23" t="n">
        <f aca="false">C486/C485-1</f>
        <v>-0.06928999144568</v>
      </c>
      <c r="F486" s="23" t="n">
        <f aca="false">D486/D485-1</f>
        <v>0.00878685929150991</v>
      </c>
      <c r="G486" s="23" t="n">
        <f aca="false">E486-$K$7*F486</f>
        <v>-0.0956884393305017</v>
      </c>
    </row>
    <row r="487" customFormat="false" ht="15" hidden="false" customHeight="false" outlineLevel="0" collapsed="false">
      <c r="B487" s="24" t="n">
        <v>45628</v>
      </c>
      <c r="C487" s="38" t="n">
        <v>42</v>
      </c>
      <c r="D487" s="38" t="n">
        <v>515.29</v>
      </c>
      <c r="E487" s="23" t="n">
        <f aca="false">C487/C486-1</f>
        <v>0.286764705882353</v>
      </c>
      <c r="F487" s="23" t="n">
        <f aca="false">D487/D486-1</f>
        <v>0.0108879036371483</v>
      </c>
      <c r="G487" s="23" t="n">
        <f aca="false">E487-$K$7*F487</f>
        <v>0.254054069783066</v>
      </c>
    </row>
    <row r="488" customFormat="false" ht="15" hidden="false" customHeight="false" outlineLevel="0" collapsed="false">
      <c r="B488" s="24" t="n">
        <v>45629</v>
      </c>
      <c r="C488" s="38" t="n">
        <v>40.21</v>
      </c>
      <c r="D488" s="38" t="n">
        <v>516.87</v>
      </c>
      <c r="E488" s="23" t="n">
        <f aca="false">C488/C487-1</f>
        <v>-0.0426190476190476</v>
      </c>
      <c r="F488" s="23" t="n">
        <f aca="false">D488/D487-1</f>
        <v>0.00306623454753652</v>
      </c>
      <c r="G488" s="23" t="n">
        <f aca="false">E488-$K$7*F488</f>
        <v>-0.0518309662603296</v>
      </c>
    </row>
    <row r="489" customFormat="false" ht="15" hidden="false" customHeight="false" outlineLevel="0" collapsed="false">
      <c r="B489" s="24" t="n">
        <v>45630</v>
      </c>
      <c r="C489" s="38" t="n">
        <v>41.81</v>
      </c>
      <c r="D489" s="38" t="n">
        <v>523.26</v>
      </c>
      <c r="E489" s="23" t="n">
        <f aca="false">C489/C488-1</f>
        <v>0.039791096742104</v>
      </c>
      <c r="F489" s="23" t="n">
        <f aca="false">D489/D488-1</f>
        <v>0.0123628765453596</v>
      </c>
      <c r="G489" s="23" t="n">
        <f aca="false">E489-$K$7*F489</f>
        <v>0.00264918501210764</v>
      </c>
    </row>
    <row r="490" customFormat="false" ht="15" hidden="false" customHeight="false" outlineLevel="0" collapsed="false">
      <c r="B490" s="24" t="n">
        <v>45631</v>
      </c>
      <c r="C490" s="38" t="n">
        <v>41.14</v>
      </c>
      <c r="D490" s="38" t="n">
        <v>521.81</v>
      </c>
      <c r="E490" s="23" t="n">
        <f aca="false">C490/C489-1</f>
        <v>-0.0160248744319541</v>
      </c>
      <c r="F490" s="23" t="n">
        <f aca="false">D490/D489-1</f>
        <v>-0.00277108894239964</v>
      </c>
      <c r="G490" s="23" t="n">
        <f aca="false">E490-$K$7*F490</f>
        <v>-0.00769966463818581</v>
      </c>
    </row>
    <row r="491" customFormat="false" ht="15" hidden="false" customHeight="false" outlineLevel="0" collapsed="false">
      <c r="B491" s="24" t="n">
        <v>45632</v>
      </c>
      <c r="C491" s="38" t="n">
        <v>43.93</v>
      </c>
      <c r="D491" s="38" t="n">
        <v>526.48</v>
      </c>
      <c r="E491" s="23" t="n">
        <f aca="false">C491/C490-1</f>
        <v>0.0678172095284395</v>
      </c>
      <c r="F491" s="23" t="n">
        <f aca="false">D491/D490-1</f>
        <v>0.00894961767693236</v>
      </c>
      <c r="G491" s="23" t="n">
        <f aca="false">E491-$K$7*F491</f>
        <v>0.0409297850237756</v>
      </c>
    </row>
    <row r="492" customFormat="false" ht="15" hidden="false" customHeight="false" outlineLevel="0" collapsed="false">
      <c r="B492" s="24" t="n">
        <v>45635</v>
      </c>
      <c r="C492" s="38" t="n">
        <v>44.16</v>
      </c>
      <c r="D492" s="38" t="n">
        <v>522.38</v>
      </c>
      <c r="E492" s="23" t="n">
        <f aca="false">C492/C491-1</f>
        <v>0.00523560209424079</v>
      </c>
      <c r="F492" s="23" t="n">
        <f aca="false">D492/D491-1</f>
        <v>-0.00778757027807331</v>
      </c>
      <c r="G492" s="23" t="n">
        <f aca="false">E492-$K$7*F492</f>
        <v>0.0286318761570041</v>
      </c>
    </row>
    <row r="493" customFormat="false" ht="15" hidden="false" customHeight="false" outlineLevel="0" collapsed="false">
      <c r="B493" s="24" t="n">
        <v>45636</v>
      </c>
      <c r="C493" s="38" t="n">
        <v>40.54</v>
      </c>
      <c r="D493" s="38" t="n">
        <v>520.6</v>
      </c>
      <c r="E493" s="23" t="n">
        <f aca="false">C493/C492-1</f>
        <v>-0.0819746376811594</v>
      </c>
      <c r="F493" s="23" t="n">
        <f aca="false">D493/D492-1</f>
        <v>-0.0034074811439947</v>
      </c>
      <c r="G493" s="23" t="n">
        <f aca="false">E493-$K$7*F493</f>
        <v>-0.0717375085302271</v>
      </c>
    </row>
    <row r="494" customFormat="false" ht="15" hidden="false" customHeight="false" outlineLevel="0" collapsed="false">
      <c r="B494" s="24" t="n">
        <v>45637</v>
      </c>
      <c r="C494" s="38" t="n">
        <v>38.29</v>
      </c>
      <c r="D494" s="38" t="n">
        <v>529.92</v>
      </c>
      <c r="E494" s="23" t="n">
        <f aca="false">C494/C493-1</f>
        <v>-0.0555007400098668</v>
      </c>
      <c r="F494" s="23" t="n">
        <f aca="false">D494/D493-1</f>
        <v>0.0179024202842872</v>
      </c>
      <c r="G494" s="23" t="n">
        <f aca="false">E494-$K$7*F494</f>
        <v>-0.109285157537022</v>
      </c>
    </row>
    <row r="495" customFormat="false" ht="15" hidden="false" customHeight="false" outlineLevel="0" collapsed="false">
      <c r="B495" s="24" t="n">
        <v>45638</v>
      </c>
      <c r="C495" s="38" t="n">
        <v>37.93</v>
      </c>
      <c r="D495" s="38" t="n">
        <v>526.5</v>
      </c>
      <c r="E495" s="23" t="n">
        <f aca="false">C495/C494-1</f>
        <v>-0.00940193261948286</v>
      </c>
      <c r="F495" s="23" t="n">
        <f aca="false">D495/D494-1</f>
        <v>-0.00645380434782605</v>
      </c>
      <c r="G495" s="23" t="n">
        <f aca="false">E495-$K$7*F495</f>
        <v>0.00998729532679115</v>
      </c>
    </row>
    <row r="496" customFormat="false" ht="15" hidden="false" customHeight="false" outlineLevel="0" collapsed="false">
      <c r="B496" s="24" t="n">
        <v>45639</v>
      </c>
      <c r="C496" s="38" t="n">
        <v>36.45</v>
      </c>
      <c r="D496" s="38" t="n">
        <v>530.53</v>
      </c>
      <c r="E496" s="23" t="n">
        <f aca="false">C496/C495-1</f>
        <v>-0.0390192459794357</v>
      </c>
      <c r="F496" s="23" t="n">
        <f aca="false">D496/D495-1</f>
        <v>0.00765432098765428</v>
      </c>
      <c r="G496" s="23" t="n">
        <f aca="false">E496-$K$7*F496</f>
        <v>-0.0620151978870219</v>
      </c>
    </row>
    <row r="497" customFormat="false" ht="15" hidden="false" customHeight="false" outlineLevel="0" collapsed="false">
      <c r="B497" s="24" t="n">
        <v>45642</v>
      </c>
      <c r="C497" s="38" t="n">
        <v>33.44</v>
      </c>
      <c r="D497" s="38" t="n">
        <v>538.17</v>
      </c>
      <c r="E497" s="23" t="n">
        <f aca="false">C497/C496-1</f>
        <v>-0.0825788751714679</v>
      </c>
      <c r="F497" s="23" t="n">
        <f aca="false">D497/D496-1</f>
        <v>0.0144006936459766</v>
      </c>
      <c r="G497" s="23" t="n">
        <f aca="false">E497-$K$7*F497</f>
        <v>-0.125843020881177</v>
      </c>
    </row>
    <row r="498" customFormat="false" ht="15" hidden="false" customHeight="false" outlineLevel="0" collapsed="false">
      <c r="B498" s="24" t="n">
        <v>45643</v>
      </c>
      <c r="C498" s="38" t="n">
        <v>33.8</v>
      </c>
      <c r="D498" s="38" t="n">
        <v>535.8</v>
      </c>
      <c r="E498" s="23" t="n">
        <f aca="false">C498/C497-1</f>
        <v>0.0107655502392345</v>
      </c>
      <c r="F498" s="23" t="n">
        <f aca="false">D498/D497-1</f>
        <v>-0.00440381292156755</v>
      </c>
      <c r="G498" s="23" t="n">
        <f aca="false">E498-$K$7*F498</f>
        <v>0.0239959687594028</v>
      </c>
    </row>
    <row r="499" customFormat="false" ht="15" hidden="false" customHeight="false" outlineLevel="0" collapsed="false">
      <c r="B499" s="24" t="n">
        <v>45644</v>
      </c>
      <c r="C499" s="38" t="n">
        <v>32.23</v>
      </c>
      <c r="D499" s="38" t="n">
        <v>516.47</v>
      </c>
      <c r="E499" s="23" t="n">
        <f aca="false">C499/C498-1</f>
        <v>-0.0464497041420119</v>
      </c>
      <c r="F499" s="23" t="n">
        <f aca="false">D499/D498-1</f>
        <v>-0.0360768943635683</v>
      </c>
      <c r="G499" s="23" t="n">
        <f aca="false">E499-$K$7*F499</f>
        <v>0.0619364648072374</v>
      </c>
    </row>
    <row r="500" customFormat="false" ht="15" hidden="false" customHeight="false" outlineLevel="0" collapsed="false">
      <c r="B500" s="24" t="n">
        <v>45645</v>
      </c>
      <c r="C500" s="38" t="n">
        <v>31.24</v>
      </c>
      <c r="D500" s="38" t="n">
        <v>514.17</v>
      </c>
      <c r="E500" s="23" t="n">
        <f aca="false">C500/C499-1</f>
        <v>-0.030716723549488</v>
      </c>
      <c r="F500" s="23" t="n">
        <f aca="false">D500/D499-1</f>
        <v>-0.00445330803338062</v>
      </c>
      <c r="G500" s="23" t="n">
        <f aca="false">E500-$K$7*F500</f>
        <v>-0.0173376063775713</v>
      </c>
    </row>
    <row r="501" customFormat="false" ht="15" hidden="false" customHeight="false" outlineLevel="0" collapsed="false">
      <c r="B501" s="24" t="n">
        <v>45646</v>
      </c>
      <c r="C501" s="38" t="n">
        <v>31.59</v>
      </c>
      <c r="D501" s="38" t="n">
        <v>518.66</v>
      </c>
      <c r="E501" s="23" t="n">
        <f aca="false">C501/C500-1</f>
        <v>0.0112035851472472</v>
      </c>
      <c r="F501" s="23" t="n">
        <f aca="false">D501/D500-1</f>
        <v>0.00873252037263939</v>
      </c>
      <c r="G501" s="23" t="n">
        <f aca="false">E501-$K$7*F501</f>
        <v>-0.0150316117885912</v>
      </c>
    </row>
    <row r="502" customFormat="false" ht="15" hidden="false" customHeight="false" outlineLevel="0" collapsed="false">
      <c r="B502" s="24" t="n">
        <v>45649</v>
      </c>
      <c r="C502" s="38" t="n">
        <v>32.4</v>
      </c>
      <c r="D502" s="38" t="n">
        <v>522.87</v>
      </c>
      <c r="E502" s="23" t="n">
        <f aca="false">C502/C501-1</f>
        <v>0.0256410256410256</v>
      </c>
      <c r="F502" s="23" t="n">
        <f aca="false">D502/D501-1</f>
        <v>0.00811707091350788</v>
      </c>
      <c r="G502" s="23" t="n">
        <f aca="false">E502-$K$7*F502</f>
        <v>0.0012548295749658</v>
      </c>
    </row>
    <row r="503" customFormat="false" ht="15" hidden="false" customHeight="false" outlineLevel="0" collapsed="false">
      <c r="B503" s="24" t="n">
        <v>45650</v>
      </c>
      <c r="C503" s="38" t="n">
        <v>34.33</v>
      </c>
      <c r="D503" s="38" t="n">
        <v>529.96</v>
      </c>
      <c r="E503" s="23" t="n">
        <f aca="false">C503/C502-1</f>
        <v>0.0595679012345678</v>
      </c>
      <c r="F503" s="23" t="n">
        <f aca="false">D503/D502-1</f>
        <v>0.0135597758525063</v>
      </c>
      <c r="G503" s="23" t="n">
        <f aca="false">E503-$K$7*F503</f>
        <v>0.0188301331314506</v>
      </c>
    </row>
    <row r="504" customFormat="false" ht="15" hidden="false" customHeight="false" outlineLevel="0" collapsed="false">
      <c r="B504" s="24" t="n">
        <v>45652</v>
      </c>
      <c r="C504" s="38" t="n">
        <v>33.74</v>
      </c>
      <c r="D504" s="38" t="n">
        <v>529.6</v>
      </c>
      <c r="E504" s="23" t="n">
        <f aca="false">C504/C503-1</f>
        <v>-0.0171861345761724</v>
      </c>
      <c r="F504" s="23" t="n">
        <f aca="false">D504/D503-1</f>
        <v>-0.000679296550683106</v>
      </c>
      <c r="G504" s="23" t="n">
        <f aca="false">E504-$K$7*F504</f>
        <v>-0.0151453172606073</v>
      </c>
    </row>
    <row r="505" customFormat="false" ht="15" hidden="false" customHeight="false" outlineLevel="0" collapsed="false">
      <c r="B505" s="24" t="n">
        <v>45653</v>
      </c>
      <c r="C505" s="38" t="n">
        <v>31.98</v>
      </c>
      <c r="D505" s="38" t="n">
        <v>522.56</v>
      </c>
      <c r="E505" s="23" t="n">
        <f aca="false">C505/C504-1</f>
        <v>-0.052163604030824</v>
      </c>
      <c r="F505" s="23" t="n">
        <f aca="false">D505/D504-1</f>
        <v>-0.0132930513595168</v>
      </c>
      <c r="G505" s="23" t="n">
        <f aca="false">E505-$K$7*F505</f>
        <v>-0.0122271589481624</v>
      </c>
    </row>
    <row r="506" customFormat="false" ht="15" hidden="false" customHeight="false" outlineLevel="0" collapsed="false">
      <c r="B506" s="24" t="n">
        <v>45656</v>
      </c>
      <c r="C506" s="38" t="n">
        <v>30.68</v>
      </c>
      <c r="D506" s="38" t="n">
        <v>515.61</v>
      </c>
      <c r="E506" s="23" t="n">
        <f aca="false">C506/C505-1</f>
        <v>-0.040650406504065</v>
      </c>
      <c r="F506" s="23" t="n">
        <f aca="false">D506/D505-1</f>
        <v>-0.0132999081445192</v>
      </c>
      <c r="G506" s="23" t="n">
        <f aca="false">E506-$K$7*F506</f>
        <v>-0.000693361514708724</v>
      </c>
    </row>
    <row r="507" customFormat="false" ht="15" hidden="false" customHeight="false" outlineLevel="0" collapsed="false">
      <c r="B507" s="24" t="n">
        <v>45657</v>
      </c>
      <c r="C507" s="38" t="n">
        <v>30.48</v>
      </c>
      <c r="D507" s="38" t="n">
        <v>511.23</v>
      </c>
      <c r="E507" s="23" t="n">
        <f aca="false">C507/C506-1</f>
        <v>-0.00651890482398954</v>
      </c>
      <c r="F507" s="23" t="n">
        <f aca="false">D507/D506-1</f>
        <v>-0.00849479257578401</v>
      </c>
      <c r="G507" s="23" t="n">
        <f aca="false">E507-$K$7*F507</f>
        <v>0.0190020841510905</v>
      </c>
    </row>
    <row r="508" customFormat="false" ht="15" hidden="false" customHeight="false" outlineLevel="0" collapsed="false">
      <c r="B508" s="24" t="n">
        <v>45659</v>
      </c>
      <c r="C508" s="38" t="n">
        <v>30.05</v>
      </c>
      <c r="D508" s="38" t="n">
        <v>510.23</v>
      </c>
      <c r="E508" s="23" t="n">
        <f aca="false">C508/C507-1</f>
        <v>-0.0141076115485564</v>
      </c>
      <c r="F508" s="23" t="n">
        <f aca="false">D508/D507-1</f>
        <v>-0.00195606674099724</v>
      </c>
      <c r="G508" s="23" t="n">
        <f aca="false">E508-$K$7*F508</f>
        <v>-0.0082309809791627</v>
      </c>
    </row>
    <row r="509" customFormat="false" ht="15" hidden="false" customHeight="false" outlineLevel="0" collapsed="false">
      <c r="B509" s="24" t="n">
        <v>45660</v>
      </c>
      <c r="C509" s="38" t="n">
        <v>33.33</v>
      </c>
      <c r="D509" s="38" t="n">
        <v>518.58</v>
      </c>
      <c r="E509" s="23" t="n">
        <f aca="false">C509/C508-1</f>
        <v>0.109151414309484</v>
      </c>
      <c r="F509" s="23" t="n">
        <f aca="false">D509/D508-1</f>
        <v>0.0163651686494326</v>
      </c>
      <c r="G509" s="23" t="n">
        <f aca="false">E509-$K$7*F509</f>
        <v>0.0599853770046887</v>
      </c>
    </row>
    <row r="510" customFormat="false" ht="15" hidden="false" customHeight="false" outlineLevel="0" collapsed="false">
      <c r="B510" s="24" t="n">
        <v>45663</v>
      </c>
      <c r="C510" s="38" t="n">
        <v>36.45</v>
      </c>
      <c r="D510" s="38" t="n">
        <v>524.54</v>
      </c>
      <c r="E510" s="23" t="n">
        <f aca="false">C510/C509-1</f>
        <v>0.0936093609360937</v>
      </c>
      <c r="F510" s="23" t="n">
        <f aca="false">D510/D509-1</f>
        <v>0.0114929229819891</v>
      </c>
      <c r="G510" s="23" t="n">
        <f aca="false">E510-$K$7*F510</f>
        <v>0.0590810592620864</v>
      </c>
    </row>
    <row r="511" customFormat="false" ht="15" hidden="false" customHeight="false" outlineLevel="0" collapsed="false">
      <c r="B511" s="24" t="n">
        <v>45664</v>
      </c>
      <c r="C511" s="38" t="n">
        <v>34.38</v>
      </c>
      <c r="D511" s="38" t="n">
        <v>515.18</v>
      </c>
      <c r="E511" s="23" t="n">
        <f aca="false">C511/C510-1</f>
        <v>-0.0567901234567901</v>
      </c>
      <c r="F511" s="23" t="n">
        <f aca="false">D511/D510-1</f>
        <v>-0.0178442063522325</v>
      </c>
      <c r="G511" s="23" t="n">
        <f aca="false">E511-$K$7*F511</f>
        <v>-0.00318059861888104</v>
      </c>
    </row>
    <row r="512" customFormat="false" ht="15" hidden="false" customHeight="false" outlineLevel="0" collapsed="false">
      <c r="B512" s="24" t="n">
        <v>45665</v>
      </c>
      <c r="C512" s="38" t="n">
        <v>32.61</v>
      </c>
      <c r="D512" s="38" t="n">
        <v>515.27</v>
      </c>
      <c r="E512" s="23" t="n">
        <f aca="false">C512/C511-1</f>
        <v>-0.0514834205933683</v>
      </c>
      <c r="F512" s="23" t="n">
        <f aca="false">D512/D511-1</f>
        <v>0.000174696222679405</v>
      </c>
      <c r="G512" s="23" t="n">
        <f aca="false">E512-$K$7*F512</f>
        <v>-0.0520082621752215</v>
      </c>
    </row>
    <row r="513" customFormat="false" ht="15" hidden="false" customHeight="false" outlineLevel="0" collapsed="false">
      <c r="B513" s="24" t="n">
        <v>45667</v>
      </c>
      <c r="C513" s="38" t="n">
        <v>32.6</v>
      </c>
      <c r="D513" s="38" t="n">
        <v>507.19</v>
      </c>
      <c r="E513" s="23" t="n">
        <f aca="false">C513/C512-1</f>
        <v>-0.000306654400490602</v>
      </c>
      <c r="F513" s="23" t="n">
        <f aca="false">D513/D512-1</f>
        <v>-0.0156810992295301</v>
      </c>
      <c r="G513" s="23" t="n">
        <f aca="false">E513-$K$7*F513</f>
        <v>0.0468042264107502</v>
      </c>
    </row>
    <row r="514" customFormat="false" ht="15" hidden="false" customHeight="false" outlineLevel="0" collapsed="false">
      <c r="B514" s="24" t="n">
        <v>45670</v>
      </c>
      <c r="C514" s="38" t="n">
        <v>31.08</v>
      </c>
      <c r="D514" s="38" t="n">
        <v>505.56</v>
      </c>
      <c r="E514" s="23" t="n">
        <f aca="false">C514/C513-1</f>
        <v>-0.0466257668711657</v>
      </c>
      <c r="F514" s="23" t="n">
        <f aca="false">D514/D513-1</f>
        <v>-0.00321378576076026</v>
      </c>
      <c r="G514" s="23" t="n">
        <f aca="false">E514-$K$7*F514</f>
        <v>-0.0369705586672077</v>
      </c>
    </row>
    <row r="515" customFormat="false" ht="15" hidden="false" customHeight="false" outlineLevel="0" collapsed="false">
      <c r="B515" s="24" t="n">
        <v>45671</v>
      </c>
      <c r="C515" s="38" t="n">
        <v>30.53</v>
      </c>
      <c r="D515" s="38" t="n">
        <v>505.08</v>
      </c>
      <c r="E515" s="23" t="n">
        <f aca="false">C515/C514-1</f>
        <v>-0.0176962676962676</v>
      </c>
      <c r="F515" s="23" t="n">
        <f aca="false">D515/D514-1</f>
        <v>-0.000949442202705986</v>
      </c>
      <c r="G515" s="23" t="n">
        <f aca="false">E515-$K$7*F515</f>
        <v>-0.0148438491384786</v>
      </c>
    </row>
    <row r="516" customFormat="false" ht="15" hidden="false" customHeight="false" outlineLevel="0" collapsed="false">
      <c r="B516" s="24" t="n">
        <v>45672</v>
      </c>
      <c r="C516" s="38" t="n">
        <v>30.99</v>
      </c>
      <c r="D516" s="38" t="n">
        <v>516.7</v>
      </c>
      <c r="E516" s="23" t="n">
        <f aca="false">C516/C515-1</f>
        <v>0.0150671470684571</v>
      </c>
      <c r="F516" s="23" t="n">
        <f aca="false">D516/D515-1</f>
        <v>0.0230062564346243</v>
      </c>
      <c r="G516" s="23" t="n">
        <f aca="false">E516-$K$7*F516</f>
        <v>-0.0540507756574808</v>
      </c>
    </row>
    <row r="517" customFormat="false" ht="15" hidden="false" customHeight="false" outlineLevel="0" collapsed="false">
      <c r="B517" s="24" t="n">
        <v>45673</v>
      </c>
      <c r="C517" s="38" t="n">
        <v>31.12</v>
      </c>
      <c r="D517" s="38" t="n">
        <v>513.08</v>
      </c>
      <c r="E517" s="23" t="n">
        <f aca="false">C517/C516-1</f>
        <v>0.00419490158115532</v>
      </c>
      <c r="F517" s="23" t="n">
        <f aca="false">D517/D516-1</f>
        <v>-0.00700599961292825</v>
      </c>
      <c r="G517" s="23" t="n">
        <f aca="false">E517-$K$7*F517</f>
        <v>0.0252430951992855</v>
      </c>
    </row>
    <row r="518" customFormat="false" ht="15" hidden="false" customHeight="false" outlineLevel="0" collapsed="false">
      <c r="B518" s="24" t="n">
        <v>45674</v>
      </c>
      <c r="C518" s="38" t="n">
        <v>30.82</v>
      </c>
      <c r="D518" s="38" t="n">
        <v>521.74</v>
      </c>
      <c r="E518" s="23" t="n">
        <f aca="false">C518/C517-1</f>
        <v>-0.00964010282776351</v>
      </c>
      <c r="F518" s="23" t="n">
        <f aca="false">D518/D517-1</f>
        <v>0.0168784594994933</v>
      </c>
      <c r="G518" s="23" t="n">
        <f aca="false">E518-$K$7*F518</f>
        <v>-0.0603482248872533</v>
      </c>
    </row>
    <row r="519" customFormat="false" ht="15" hidden="false" customHeight="false" outlineLevel="0" collapsed="false">
      <c r="B519" s="24" t="n">
        <v>45678</v>
      </c>
      <c r="C519" s="38" t="n">
        <v>32.45</v>
      </c>
      <c r="D519" s="38" t="n">
        <v>524.8</v>
      </c>
      <c r="E519" s="23" t="n">
        <f aca="false">C519/C518-1</f>
        <v>0.0528877352368593</v>
      </c>
      <c r="F519" s="23" t="n">
        <f aca="false">D519/D518-1</f>
        <v>0.0058649902250163</v>
      </c>
      <c r="G519" s="23" t="n">
        <f aca="false">E519-$K$7*F519</f>
        <v>0.0352674873572013</v>
      </c>
    </row>
    <row r="520" customFormat="false" ht="15" hidden="false" customHeight="false" outlineLevel="0" collapsed="false">
      <c r="B520" s="24" t="n">
        <v>45679</v>
      </c>
      <c r="C520" s="38" t="n">
        <v>33.86</v>
      </c>
      <c r="D520" s="38" t="n">
        <v>531.51</v>
      </c>
      <c r="E520" s="23" t="n">
        <f aca="false">C520/C519-1</f>
        <v>0.0434514637904468</v>
      </c>
      <c r="F520" s="23" t="n">
        <f aca="false">D520/D519-1</f>
        <v>0.0127858231707318</v>
      </c>
      <c r="G520" s="23" t="n">
        <f aca="false">E520-$K$7*F520</f>
        <v>0.00503888934951596</v>
      </c>
    </row>
    <row r="521" customFormat="false" ht="15" hidden="false" customHeight="false" outlineLevel="0" collapsed="false">
      <c r="B521" s="24" t="n">
        <v>45680</v>
      </c>
      <c r="C521" s="38" t="n">
        <v>33.41</v>
      </c>
      <c r="D521" s="38" t="n">
        <v>532.64</v>
      </c>
      <c r="E521" s="23" t="n">
        <f aca="false">C521/C520-1</f>
        <v>-0.0132900177200237</v>
      </c>
      <c r="F521" s="23" t="n">
        <f aca="false">D521/D520-1</f>
        <v>0.00212601832514903</v>
      </c>
      <c r="G521" s="23" t="n">
        <f aca="false">E521-$K$7*F521</f>
        <v>-0.0196772355070264</v>
      </c>
    </row>
    <row r="522" customFormat="false" ht="15" hidden="false" customHeight="false" outlineLevel="0" collapsed="false">
      <c r="B522" s="24" t="n">
        <v>45681</v>
      </c>
      <c r="C522" s="38" t="n">
        <v>33.27</v>
      </c>
      <c r="D522" s="38" t="n">
        <v>529.63</v>
      </c>
      <c r="E522" s="23" t="n">
        <f aca="false">C522/C521-1</f>
        <v>-0.00419036216701563</v>
      </c>
      <c r="F522" s="23" t="n">
        <f aca="false">D522/D521-1</f>
        <v>-0.005651096425353</v>
      </c>
      <c r="G522" s="23" t="n">
        <f aca="false">E522-$K$7*F522</f>
        <v>0.0127872824643175</v>
      </c>
    </row>
    <row r="523" customFormat="false" ht="15" hidden="false" customHeight="false" outlineLevel="0" collapsed="false">
      <c r="B523" s="24" t="n">
        <v>45684</v>
      </c>
      <c r="C523" s="38" t="n">
        <v>29.07</v>
      </c>
      <c r="D523" s="38" t="n">
        <v>514.21</v>
      </c>
      <c r="E523" s="23" t="n">
        <f aca="false">C523/C522-1</f>
        <v>-0.126239855725879</v>
      </c>
      <c r="F523" s="23" t="n">
        <f aca="false">D523/D522-1</f>
        <v>-0.0291146649547797</v>
      </c>
      <c r="G523" s="23" t="n">
        <f aca="false">E523-$K$7*F523</f>
        <v>-0.0387703811395026</v>
      </c>
    </row>
    <row r="524" customFormat="false" ht="15" hidden="false" customHeight="false" outlineLevel="0" collapsed="false">
      <c r="B524" s="24" t="n">
        <v>45685</v>
      </c>
      <c r="C524" s="38" t="n">
        <v>28.18</v>
      </c>
      <c r="D524" s="38" t="n">
        <v>521.81</v>
      </c>
      <c r="E524" s="23" t="n">
        <f aca="false">C524/C523-1</f>
        <v>-0.0306157550739594</v>
      </c>
      <c r="F524" s="23" t="n">
        <f aca="false">D524/D523-1</f>
        <v>0.0147799537154079</v>
      </c>
      <c r="G524" s="23" t="n">
        <f aca="false">E524-$K$7*F524</f>
        <v>-0.075019315544452</v>
      </c>
    </row>
    <row r="525" customFormat="false" ht="15" hidden="false" customHeight="false" outlineLevel="0" collapsed="false">
      <c r="B525" s="24" t="n">
        <v>45686</v>
      </c>
      <c r="C525" s="38" t="n">
        <v>27.8</v>
      </c>
      <c r="D525" s="38" t="n">
        <v>520.83</v>
      </c>
      <c r="E525" s="23" t="n">
        <f aca="false">C525/C524-1</f>
        <v>-0.013484740951029</v>
      </c>
      <c r="F525" s="23" t="n">
        <f aca="false">D525/D524-1</f>
        <v>-0.00187807822770725</v>
      </c>
      <c r="G525" s="23" t="n">
        <f aca="false">E525-$K$7*F525</f>
        <v>-0.00784241203998662</v>
      </c>
    </row>
    <row r="526" customFormat="false" ht="15" hidden="false" customHeight="false" outlineLevel="0" collapsed="false">
      <c r="B526" s="24" t="n">
        <v>45687</v>
      </c>
      <c r="C526" s="38" t="n">
        <v>28.64</v>
      </c>
      <c r="D526" s="38" t="n">
        <v>523.05</v>
      </c>
      <c r="E526" s="23" t="n">
        <f aca="false">C526/C525-1</f>
        <v>0.0302158273381294</v>
      </c>
      <c r="F526" s="23" t="n">
        <f aca="false">D526/D525-1</f>
        <v>0.00426242727953441</v>
      </c>
      <c r="G526" s="23" t="n">
        <f aca="false">E526-$K$7*F526</f>
        <v>0.0174101750944031</v>
      </c>
    </row>
    <row r="527" customFormat="false" ht="15" hidden="false" customHeight="false" outlineLevel="0" collapsed="false">
      <c r="B527" s="24" t="n">
        <v>45688</v>
      </c>
      <c r="C527" s="38" t="n">
        <v>28.52</v>
      </c>
      <c r="D527" s="38" t="n">
        <v>522.29</v>
      </c>
      <c r="E527" s="23" t="n">
        <f aca="false">C527/C526-1</f>
        <v>-0.00418994413407825</v>
      </c>
      <c r="F527" s="23" t="n">
        <f aca="false">D527/D526-1</f>
        <v>-0.001453015964057</v>
      </c>
      <c r="G527" s="23" t="n">
        <f aca="false">E527-$K$7*F527</f>
        <v>0.000175366033120461</v>
      </c>
    </row>
    <row r="528" customFormat="false" ht="15" hidden="false" customHeight="false" outlineLevel="0" collapsed="false">
      <c r="B528" s="24" t="n">
        <v>45691</v>
      </c>
      <c r="C528" s="38" t="n">
        <v>26.85</v>
      </c>
      <c r="D528" s="38" t="n">
        <v>518.11</v>
      </c>
      <c r="E528" s="23" t="n">
        <f aca="false">C528/C527-1</f>
        <v>-0.0585553997194951</v>
      </c>
      <c r="F528" s="23" t="n">
        <f aca="false">D528/D527-1</f>
        <v>-0.00800321660380243</v>
      </c>
      <c r="G528" s="23" t="n">
        <f aca="false">E528-$K$7*F528</f>
        <v>-0.034511257277092</v>
      </c>
    </row>
    <row r="529" customFormat="false" ht="15" hidden="false" customHeight="false" outlineLevel="0" collapsed="false">
      <c r="B529" s="24" t="n">
        <v>45692</v>
      </c>
      <c r="C529" s="38" t="n">
        <v>29.16</v>
      </c>
      <c r="D529" s="38" t="n">
        <v>524.47</v>
      </c>
      <c r="E529" s="23" t="n">
        <f aca="false">C529/C528-1</f>
        <v>0.0860335195530726</v>
      </c>
      <c r="F529" s="23" t="n">
        <f aca="false">D529/D528-1</f>
        <v>0.0122753855358901</v>
      </c>
      <c r="G529" s="23" t="n">
        <f aca="false">E529-$K$7*F529</f>
        <v>0.0491544579242611</v>
      </c>
    </row>
    <row r="530" customFormat="false" ht="15" hidden="false" customHeight="false" outlineLevel="0" collapsed="false">
      <c r="B530" s="24" t="n">
        <v>45693</v>
      </c>
      <c r="C530" s="38" t="n">
        <v>31.49</v>
      </c>
      <c r="D530" s="38" t="n">
        <v>526.85</v>
      </c>
      <c r="E530" s="23" t="n">
        <f aca="false">C530/C529-1</f>
        <v>0.0799039780521262</v>
      </c>
      <c r="F530" s="23" t="n">
        <f aca="false">D530/D529-1</f>
        <v>0.00453791446603247</v>
      </c>
      <c r="G530" s="23" t="n">
        <f aca="false">E530-$K$7*F530</f>
        <v>0.0662706769415594</v>
      </c>
    </row>
    <row r="531" customFormat="false" ht="15" hidden="false" customHeight="false" outlineLevel="0" collapsed="false">
      <c r="B531" s="24" t="n">
        <v>45694</v>
      </c>
      <c r="C531" s="38" t="n">
        <v>33.84</v>
      </c>
      <c r="D531" s="38" t="n">
        <v>529.6</v>
      </c>
      <c r="E531" s="23" t="n">
        <f aca="false">C531/C530-1</f>
        <v>0.074626865671642</v>
      </c>
      <c r="F531" s="23" t="n">
        <f aca="false">D531/D530-1</f>
        <v>0.00521970200246757</v>
      </c>
      <c r="G531" s="23" t="n">
        <f aca="false">E531-$K$7*F531</f>
        <v>0.0589452635524892</v>
      </c>
    </row>
    <row r="532" customFormat="false" ht="15" hidden="false" customHeight="false" outlineLevel="0" collapsed="false">
      <c r="B532" s="24" t="n">
        <v>45695</v>
      </c>
      <c r="C532" s="38" t="n">
        <v>36.28</v>
      </c>
      <c r="D532" s="38" t="n">
        <v>522.92</v>
      </c>
      <c r="E532" s="23" t="n">
        <f aca="false">C532/C531-1</f>
        <v>0.0721040189125295</v>
      </c>
      <c r="F532" s="23" t="n">
        <f aca="false">D532/D531-1</f>
        <v>-0.0126132930513596</v>
      </c>
      <c r="G532" s="23" t="n">
        <f aca="false">E532-$K$7*F532</f>
        <v>0.1099982594171</v>
      </c>
    </row>
    <row r="533" customFormat="false" ht="15" hidden="false" customHeight="false" outlineLevel="0" collapsed="false">
      <c r="B533" s="24" t="n">
        <v>45698</v>
      </c>
      <c r="C533" s="38" t="n">
        <v>42.65</v>
      </c>
      <c r="D533" s="38" t="n">
        <v>529.25</v>
      </c>
      <c r="E533" s="23" t="n">
        <f aca="false">C533/C532-1</f>
        <v>0.175578831312017</v>
      </c>
      <c r="F533" s="23" t="n">
        <f aca="false">D533/D532-1</f>
        <v>0.0121051021188709</v>
      </c>
      <c r="G533" s="23" t="n">
        <f aca="false">E533-$K$7*F533</f>
        <v>0.139211353829566</v>
      </c>
    </row>
    <row r="534" customFormat="false" ht="15" hidden="false" customHeight="false" outlineLevel="0" collapsed="false">
      <c r="B534" s="24" t="n">
        <v>45699</v>
      </c>
      <c r="C534" s="38" t="n">
        <v>38.61</v>
      </c>
      <c r="D534" s="38" t="n">
        <v>527.99</v>
      </c>
      <c r="E534" s="23" t="n">
        <f aca="false">C534/C533-1</f>
        <v>-0.0947245017584995</v>
      </c>
      <c r="F534" s="23" t="n">
        <f aca="false">D534/D533-1</f>
        <v>-0.00238072744449691</v>
      </c>
      <c r="G534" s="23" t="n">
        <f aca="false">E534-$K$7*F534</f>
        <v>-0.0875720588563761</v>
      </c>
    </row>
    <row r="535" customFormat="false" ht="15" hidden="false" customHeight="false" outlineLevel="0" collapsed="false">
      <c r="B535" s="24" t="n">
        <v>45700</v>
      </c>
      <c r="C535" s="38" t="n">
        <v>39.68</v>
      </c>
      <c r="D535" s="38" t="n">
        <v>528.3</v>
      </c>
      <c r="E535" s="23" t="n">
        <f aca="false">C535/C534-1</f>
        <v>0.0277130277130278</v>
      </c>
      <c r="F535" s="23" t="n">
        <f aca="false">D535/D534-1</f>
        <v>0.000587132332051654</v>
      </c>
      <c r="G535" s="23" t="n">
        <f aca="false">E535-$K$7*F535</f>
        <v>0.0259491002669452</v>
      </c>
    </row>
    <row r="536" customFormat="false" ht="15" hidden="false" customHeight="false" outlineLevel="0" collapsed="false">
      <c r="B536" s="24" t="n">
        <v>45701</v>
      </c>
      <c r="C536" s="38" t="n">
        <v>42.28</v>
      </c>
      <c r="D536" s="38" t="n">
        <v>535.9</v>
      </c>
      <c r="E536" s="23" t="n">
        <f aca="false">C536/C535-1</f>
        <v>0.0655241935483872</v>
      </c>
      <c r="F536" s="23" t="n">
        <f aca="false">D536/D535-1</f>
        <v>0.0143857656634487</v>
      </c>
      <c r="G536" s="23" t="n">
        <f aca="false">E536-$K$7*F536</f>
        <v>0.0223048961235674</v>
      </c>
    </row>
    <row r="537" customFormat="false" ht="15" hidden="false" customHeight="false" outlineLevel="0" collapsed="false">
      <c r="B537" s="24" t="n">
        <v>45702</v>
      </c>
      <c r="C537" s="38" t="n">
        <v>47.91</v>
      </c>
      <c r="D537" s="38" t="n">
        <v>538.15</v>
      </c>
      <c r="E537" s="23" t="n">
        <f aca="false">C537/C536-1</f>
        <v>0.133159886471145</v>
      </c>
      <c r="F537" s="23" t="n">
        <f aca="false">D537/D536-1</f>
        <v>0.0041985445045718</v>
      </c>
      <c r="G537" s="23" t="n">
        <f aca="false">E537-$K$7*F537</f>
        <v>0.120546157877228</v>
      </c>
    </row>
    <row r="538" customFormat="false" ht="15" hidden="false" customHeight="false" outlineLevel="0" collapsed="false">
      <c r="B538" s="24" t="n">
        <v>45706</v>
      </c>
      <c r="C538" s="38" t="n">
        <v>55.8</v>
      </c>
      <c r="D538" s="38" t="n">
        <v>539.37</v>
      </c>
      <c r="E538" s="23" t="n">
        <f aca="false">C538/C537-1</f>
        <v>0.164683782091422</v>
      </c>
      <c r="F538" s="23" t="n">
        <f aca="false">D538/D537-1</f>
        <v>0.00226702592214068</v>
      </c>
      <c r="G538" s="23" t="n">
        <f aca="false">E538-$K$7*F538</f>
        <v>0.157872933792417</v>
      </c>
    </row>
    <row r="539" customFormat="false" ht="15" hidden="false" customHeight="false" outlineLevel="0" collapsed="false">
      <c r="B539" s="24" t="n">
        <v>45707</v>
      </c>
      <c r="C539" s="38" t="n">
        <v>60.25</v>
      </c>
      <c r="D539" s="38" t="n">
        <v>539.52</v>
      </c>
      <c r="E539" s="23" t="n">
        <f aca="false">C539/C538-1</f>
        <v>0.0797491039426523</v>
      </c>
      <c r="F539" s="23" t="n">
        <f aca="false">D539/D538-1</f>
        <v>0.00027810223037994</v>
      </c>
      <c r="G539" s="23" t="n">
        <f aca="false">E539-$K$7*F539</f>
        <v>0.0789135986737298</v>
      </c>
    </row>
    <row r="540" customFormat="false" ht="15" hidden="false" customHeight="false" outlineLevel="0" collapsed="false">
      <c r="B540" s="24" t="n">
        <v>45708</v>
      </c>
      <c r="C540" s="38" t="n">
        <v>59.27</v>
      </c>
      <c r="D540" s="38" t="n">
        <v>537.23</v>
      </c>
      <c r="E540" s="23" t="n">
        <f aca="false">C540/C539-1</f>
        <v>-0.016265560165975</v>
      </c>
      <c r="F540" s="23" t="n">
        <f aca="false">D540/D539-1</f>
        <v>-0.0042445136417556</v>
      </c>
      <c r="G540" s="23" t="n">
        <f aca="false">E540-$K$7*F540</f>
        <v>-0.00351372604060512</v>
      </c>
    </row>
    <row r="541" customFormat="false" ht="15" hidden="false" customHeight="false" outlineLevel="0" collapsed="false">
      <c r="B541" s="24" t="n">
        <v>45709</v>
      </c>
      <c r="C541" s="38" t="n">
        <v>56.07</v>
      </c>
      <c r="D541" s="38" t="n">
        <v>526.08</v>
      </c>
      <c r="E541" s="23" t="n">
        <f aca="false">C541/C540-1</f>
        <v>-0.0539902142736629</v>
      </c>
      <c r="F541" s="23" t="n">
        <f aca="false">D541/D540-1</f>
        <v>-0.0207546116188596</v>
      </c>
      <c r="G541" s="23" t="n">
        <f aca="false">E541-$K$7*F541</f>
        <v>0.00836306976259839</v>
      </c>
    </row>
    <row r="542" customFormat="false" ht="15" hidden="false" customHeight="false" outlineLevel="0" collapsed="false">
      <c r="B542" s="24" t="n">
        <v>45712</v>
      </c>
      <c r="C542" s="38" t="n">
        <v>51.61</v>
      </c>
      <c r="D542" s="38" t="n">
        <v>519.87</v>
      </c>
      <c r="E542" s="23" t="n">
        <f aca="false">C542/C541-1</f>
        <v>-0.0795434278580346</v>
      </c>
      <c r="F542" s="23" t="n">
        <f aca="false">D542/D541-1</f>
        <v>-0.011804288321168</v>
      </c>
      <c r="G542" s="23" t="n">
        <f aca="false">E542-$K$7*F542</f>
        <v>-0.0440796882298318</v>
      </c>
    </row>
    <row r="543" customFormat="false" ht="15" hidden="false" customHeight="false" outlineLevel="0" collapsed="false">
      <c r="B543" s="24" t="n">
        <v>45713</v>
      </c>
      <c r="C543" s="38" t="n">
        <v>45.54</v>
      </c>
      <c r="D543" s="38" t="n">
        <v>513.32</v>
      </c>
      <c r="E543" s="23" t="n">
        <f aca="false">C543/C542-1</f>
        <v>-0.117612865723697</v>
      </c>
      <c r="F543" s="23" t="n">
        <f aca="false">D543/D542-1</f>
        <v>-0.0125993036720717</v>
      </c>
      <c r="G543" s="23" t="n">
        <f aca="false">E543-$K$7*F543</f>
        <v>-0.07976065364906</v>
      </c>
    </row>
    <row r="544" customFormat="false" ht="15" hidden="false" customHeight="false" outlineLevel="0" collapsed="false">
      <c r="B544" s="24" t="n">
        <v>45714</v>
      </c>
      <c r="C544" s="38" t="n">
        <v>51.11</v>
      </c>
      <c r="D544" s="38" t="n">
        <v>514.56</v>
      </c>
      <c r="E544" s="23" t="n">
        <f aca="false">C544/C543-1</f>
        <v>0.122310057092666</v>
      </c>
      <c r="F544" s="23" t="n">
        <f aca="false">D544/D543-1</f>
        <v>0.00241564715966636</v>
      </c>
      <c r="G544" s="23" t="n">
        <f aca="false">E544-$K$7*F544</f>
        <v>0.11505270454644</v>
      </c>
    </row>
    <row r="545" customFormat="false" ht="15" hidden="false" customHeight="false" outlineLevel="0" collapsed="false">
      <c r="B545" s="24" t="n">
        <v>45715</v>
      </c>
      <c r="C545" s="38" t="n">
        <v>42.95</v>
      </c>
      <c r="D545" s="38" t="n">
        <v>500.27</v>
      </c>
      <c r="E545" s="23" t="n">
        <f aca="false">C545/C544-1</f>
        <v>-0.159655644687928</v>
      </c>
      <c r="F545" s="23" t="n">
        <f aca="false">D545/D544-1</f>
        <v>-0.0277712997512437</v>
      </c>
      <c r="G545" s="23" t="n">
        <f aca="false">E545-$K$7*F545</f>
        <v>-0.0762220554092962</v>
      </c>
    </row>
    <row r="546" customFormat="false" ht="15" hidden="false" customHeight="false" outlineLevel="0" collapsed="false">
      <c r="B546" s="24" t="n">
        <v>45716</v>
      </c>
      <c r="C546" s="38" t="n">
        <v>41.46</v>
      </c>
      <c r="D546" s="38" t="n">
        <v>508.17</v>
      </c>
      <c r="E546" s="23" t="n">
        <f aca="false">C546/C545-1</f>
        <v>-0.0346915017462166</v>
      </c>
      <c r="F546" s="23" t="n">
        <f aca="false">D546/D545-1</f>
        <v>0.0157914726047934</v>
      </c>
      <c r="G546" s="23" t="n">
        <f aca="false">E546-$K$7*F546</f>
        <v>-0.0821339783754962</v>
      </c>
    </row>
    <row r="547" customFormat="false" ht="15" hidden="false" customHeight="false" outlineLevel="0" collapsed="false">
      <c r="B547" s="24" t="n">
        <v>45719</v>
      </c>
      <c r="C547" s="38" t="n">
        <v>36.07</v>
      </c>
      <c r="D547" s="38" t="n">
        <v>497.05</v>
      </c>
      <c r="E547" s="23" t="n">
        <f aca="false">C547/C546-1</f>
        <v>-0.130004823926676</v>
      </c>
      <c r="F547" s="23" t="n">
        <f aca="false">D547/D546-1</f>
        <v>-0.0218824409154417</v>
      </c>
      <c r="G547" s="23" t="n">
        <f aca="false">E547-$K$7*F547</f>
        <v>-0.0642631912300963</v>
      </c>
    </row>
    <row r="548" customFormat="false" ht="15" hidden="false" customHeight="false" outlineLevel="0" collapsed="false">
      <c r="B548" s="24" t="n">
        <v>45720</v>
      </c>
      <c r="C548" s="38" t="n">
        <v>39.14</v>
      </c>
      <c r="D548" s="38" t="n">
        <v>495.55</v>
      </c>
      <c r="E548" s="23" t="n">
        <f aca="false">C548/C547-1</f>
        <v>0.0851122816745218</v>
      </c>
      <c r="F548" s="23" t="n">
        <f aca="false">D548/D547-1</f>
        <v>-0.00301780504979376</v>
      </c>
      <c r="G548" s="23" t="n">
        <f aca="false">E548-$K$7*F548</f>
        <v>0.0941787030988989</v>
      </c>
    </row>
    <row r="549" customFormat="false" ht="15" hidden="false" customHeight="false" outlineLevel="0" collapsed="false">
      <c r="B549" s="24" t="n">
        <v>45721</v>
      </c>
      <c r="C549" s="38" t="n">
        <v>38.9</v>
      </c>
      <c r="D549" s="38" t="n">
        <v>502.01</v>
      </c>
      <c r="E549" s="23" t="n">
        <f aca="false">C549/C548-1</f>
        <v>-0.00613183444047016</v>
      </c>
      <c r="F549" s="23" t="n">
        <f aca="false">D549/D548-1</f>
        <v>0.0130360205831903</v>
      </c>
      <c r="G549" s="23" t="n">
        <f aca="false">E549-$K$7*F549</f>
        <v>-0.0452960794310915</v>
      </c>
    </row>
    <row r="550" customFormat="false" ht="15" hidden="false" customHeight="false" outlineLevel="0" collapsed="false">
      <c r="B550" s="24" t="n">
        <v>45722</v>
      </c>
      <c r="C550" s="38" t="n">
        <v>37.05</v>
      </c>
      <c r="D550" s="38" t="n">
        <v>488.2</v>
      </c>
      <c r="E550" s="23" t="n">
        <f aca="false">C550/C549-1</f>
        <v>-0.0475578406169667</v>
      </c>
      <c r="F550" s="23" t="n">
        <f aca="false">D550/D549-1</f>
        <v>-0.0275094121631043</v>
      </c>
      <c r="G550" s="23" t="n">
        <f aca="false">E550-$K$7*F550</f>
        <v>0.0350889572020751</v>
      </c>
    </row>
    <row r="551" customFormat="false" ht="15" hidden="false" customHeight="false" outlineLevel="0" collapsed="false">
      <c r="B551" s="24" t="n">
        <v>45723</v>
      </c>
      <c r="C551" s="38" t="n">
        <v>38.24</v>
      </c>
      <c r="D551" s="38" t="n">
        <v>491.79</v>
      </c>
      <c r="E551" s="23" t="n">
        <f aca="false">C551/C550-1</f>
        <v>0.0321187584345481</v>
      </c>
      <c r="F551" s="23" t="n">
        <f aca="false">D551/D550-1</f>
        <v>0.00735354362966012</v>
      </c>
      <c r="G551" s="23" t="n">
        <f aca="false">E551-$K$7*F551</f>
        <v>0.0100264349050351</v>
      </c>
    </row>
    <row r="552" customFormat="false" ht="15" hidden="false" customHeight="false" outlineLevel="0" collapsed="false">
      <c r="B552" s="24" t="n">
        <v>45726</v>
      </c>
      <c r="C552" s="38" t="n">
        <v>36.9</v>
      </c>
      <c r="D552" s="38" t="n">
        <v>472.73</v>
      </c>
      <c r="E552" s="23" t="n">
        <f aca="false">C552/C551-1</f>
        <v>-0.0350418410041842</v>
      </c>
      <c r="F552" s="23" t="n">
        <f aca="false">D552/D551-1</f>
        <v>-0.0387563797555868</v>
      </c>
      <c r="G552" s="23" t="n">
        <f aca="false">E552-$K$7*F552</f>
        <v>0.0813943322904955</v>
      </c>
    </row>
    <row r="553" customFormat="false" ht="15" hidden="false" customHeight="false" outlineLevel="0" collapsed="false">
      <c r="B553" s="24" t="n">
        <v>45727</v>
      </c>
      <c r="C553" s="38" t="n">
        <v>40.84</v>
      </c>
      <c r="D553" s="38" t="n">
        <v>471.6</v>
      </c>
      <c r="E553" s="23" t="n">
        <f aca="false">C553/C552-1</f>
        <v>0.106775067750678</v>
      </c>
      <c r="F553" s="23" t="n">
        <f aca="false">D553/D552-1</f>
        <v>-0.00239037082478366</v>
      </c>
      <c r="G553" s="23" t="n">
        <f aca="false">E553-$K$7*F553</f>
        <v>0.113956482355145</v>
      </c>
    </row>
    <row r="554" customFormat="false" ht="15" hidden="false" customHeight="false" outlineLevel="0" collapsed="false">
      <c r="B554" s="24" t="n">
        <v>45728</v>
      </c>
      <c r="C554" s="38" t="n">
        <v>42.47</v>
      </c>
      <c r="D554" s="38" t="n">
        <v>476.92</v>
      </c>
      <c r="E554" s="23" t="n">
        <f aca="false">C554/C553-1</f>
        <v>0.0399118511263465</v>
      </c>
      <c r="F554" s="23" t="n">
        <f aca="false">D554/D553-1</f>
        <v>0.0112807463952502</v>
      </c>
      <c r="G554" s="23" t="n">
        <f aca="false">E554-$K$7*F554</f>
        <v>0.00602099366096762</v>
      </c>
    </row>
    <row r="555" customFormat="false" ht="15" hidden="false" customHeight="false" outlineLevel="0" collapsed="false">
      <c r="B555" s="24" t="n">
        <v>45729</v>
      </c>
      <c r="C555" s="38" t="n">
        <v>39.08</v>
      </c>
      <c r="D555" s="38" t="n">
        <v>468.34</v>
      </c>
      <c r="E555" s="23" t="n">
        <f aca="false">C555/C554-1</f>
        <v>-0.0798210501530492</v>
      </c>
      <c r="F555" s="23" t="n">
        <f aca="false">D555/D554-1</f>
        <v>-0.0179904386479913</v>
      </c>
      <c r="G555" s="23" t="n">
        <f aca="false">E555-$K$7*F555</f>
        <v>-0.02577219818919</v>
      </c>
    </row>
    <row r="556" customFormat="false" ht="15" hidden="false" customHeight="false" outlineLevel="0" collapsed="false">
      <c r="B556" s="24" t="n">
        <v>45730</v>
      </c>
      <c r="C556" s="38" t="n">
        <v>42.17</v>
      </c>
      <c r="D556" s="38" t="n">
        <v>479.66</v>
      </c>
      <c r="E556" s="23" t="n">
        <f aca="false">C556/C555-1</f>
        <v>0.0790685772773798</v>
      </c>
      <c r="F556" s="23" t="n">
        <f aca="false">D556/D555-1</f>
        <v>0.0241704744416451</v>
      </c>
      <c r="G556" s="23" t="n">
        <f aca="false">E556-$K$7*F556</f>
        <v>0.00645298293006907</v>
      </c>
    </row>
    <row r="557" customFormat="false" ht="15" hidden="false" customHeight="false" outlineLevel="0" collapsed="false">
      <c r="B557" s="24" t="n">
        <v>45733</v>
      </c>
      <c r="C557" s="38" t="n">
        <v>41.94</v>
      </c>
      <c r="D557" s="38" t="n">
        <v>482.77</v>
      </c>
      <c r="E557" s="23" t="n">
        <f aca="false">C557/C556-1</f>
        <v>-0.00545411429926501</v>
      </c>
      <c r="F557" s="23" t="n">
        <f aca="false">D557/D556-1</f>
        <v>0.00648375932952505</v>
      </c>
      <c r="G557" s="23" t="n">
        <f aca="false">E557-$K$7*F557</f>
        <v>-0.0249333362919938</v>
      </c>
    </row>
    <row r="558" customFormat="false" ht="15" hidden="false" customHeight="false" outlineLevel="0" collapsed="false">
      <c r="B558" s="24" t="n">
        <v>45734</v>
      </c>
      <c r="C558" s="38" t="n">
        <v>37.9</v>
      </c>
      <c r="D558" s="38" t="n">
        <v>474.54</v>
      </c>
      <c r="E558" s="23" t="n">
        <f aca="false">C558/C557-1</f>
        <v>-0.0963280877443967</v>
      </c>
      <c r="F558" s="23" t="n">
        <f aca="false">D558/D557-1</f>
        <v>-0.0170474553099819</v>
      </c>
      <c r="G558" s="23" t="n">
        <f aca="false">E558-$K$7*F558</f>
        <v>-0.0451122499075249</v>
      </c>
    </row>
    <row r="559" customFormat="false" ht="15" hidden="false" customHeight="false" outlineLevel="0" collapsed="false">
      <c r="B559" s="24" t="n">
        <v>45735</v>
      </c>
      <c r="C559" s="38" t="n">
        <v>40.1</v>
      </c>
      <c r="D559" s="38" t="n">
        <v>480.89</v>
      </c>
      <c r="E559" s="23" t="n">
        <f aca="false">C559/C558-1</f>
        <v>0.0580474934036941</v>
      </c>
      <c r="F559" s="23" t="n">
        <f aca="false">D559/D558-1</f>
        <v>0.0133813798626037</v>
      </c>
      <c r="G559" s="23" t="n">
        <f aca="false">E559-$K$7*F559</f>
        <v>0.0178456821295268</v>
      </c>
    </row>
    <row r="560" customFormat="false" ht="15" hidden="false" customHeight="false" outlineLevel="0" collapsed="false">
      <c r="B560" s="24" t="n">
        <v>45736</v>
      </c>
      <c r="C560" s="38" t="n">
        <v>39.1</v>
      </c>
      <c r="D560" s="38" t="n">
        <v>479.26</v>
      </c>
      <c r="E560" s="23" t="n">
        <f aca="false">C560/C559-1</f>
        <v>-0.0249376558603491</v>
      </c>
      <c r="F560" s="23" t="n">
        <f aca="false">D560/D559-1</f>
        <v>-0.00338954854540541</v>
      </c>
      <c r="G560" s="23" t="n">
        <f aca="false">E560-$K$7*F560</f>
        <v>-0.0147544017919228</v>
      </c>
    </row>
    <row r="561" customFormat="false" ht="15" hidden="false" customHeight="false" outlineLevel="0" collapsed="false">
      <c r="B561" s="24" t="n">
        <v>45737</v>
      </c>
      <c r="C561" s="38" t="n">
        <v>42.15</v>
      </c>
      <c r="D561" s="38" t="n">
        <v>480.84</v>
      </c>
      <c r="E561" s="23" t="n">
        <f aca="false">C561/C560-1</f>
        <v>0.078005115089514</v>
      </c>
      <c r="F561" s="23" t="n">
        <f aca="false">D561/D560-1</f>
        <v>0.00329674915494715</v>
      </c>
      <c r="G561" s="23" t="n">
        <f aca="false">E561-$K$7*F561</f>
        <v>0.0681006591435434</v>
      </c>
    </row>
    <row r="562" customFormat="false" ht="15" hidden="false" customHeight="false" outlineLevel="0" collapsed="false">
      <c r="B562" s="24" t="n">
        <v>45740</v>
      </c>
      <c r="C562" s="38" t="n">
        <v>41.72</v>
      </c>
      <c r="D562" s="38" t="n">
        <v>490.66</v>
      </c>
      <c r="E562" s="23" t="n">
        <f aca="false">C562/C561-1</f>
        <v>-0.0102016607354686</v>
      </c>
      <c r="F562" s="23" t="n">
        <f aca="false">D562/D561-1</f>
        <v>0.0204225937941935</v>
      </c>
      <c r="G562" s="23" t="n">
        <f aca="false">E562-$K$7*F562</f>
        <v>-0.071557460352041</v>
      </c>
    </row>
    <row r="563" customFormat="false" ht="15" hidden="false" customHeight="false" outlineLevel="0" collapsed="false">
      <c r="B563" s="24" t="n">
        <v>45741</v>
      </c>
      <c r="C563" s="38" t="n">
        <v>40.64</v>
      </c>
      <c r="D563" s="38" t="n">
        <v>493.46</v>
      </c>
      <c r="E563" s="23" t="n">
        <f aca="false">C563/C562-1</f>
        <v>-0.0258868648130393</v>
      </c>
      <c r="F563" s="23" t="n">
        <f aca="false">D563/D562-1</f>
        <v>0.0057065992744465</v>
      </c>
      <c r="G563" s="23" t="n">
        <f aca="false">E563-$K$7*F563</f>
        <v>-0.0430312572003846</v>
      </c>
    </row>
    <row r="564" customFormat="false" ht="15" hidden="false" customHeight="false" outlineLevel="0" collapsed="false">
      <c r="B564" s="24" t="n">
        <v>45742</v>
      </c>
      <c r="C564" s="38" t="n">
        <v>37.04</v>
      </c>
      <c r="D564" s="38" t="n">
        <v>484.38</v>
      </c>
      <c r="E564" s="23" t="n">
        <f aca="false">C564/C563-1</f>
        <v>-0.0885826771653544</v>
      </c>
      <c r="F564" s="23" t="n">
        <f aca="false">D564/D563-1</f>
        <v>-0.0184006809062538</v>
      </c>
      <c r="G564" s="23" t="n">
        <f aca="false">E564-$K$7*F564</f>
        <v>-0.0333013303457556</v>
      </c>
    </row>
    <row r="565" customFormat="false" ht="15" hidden="false" customHeight="false" outlineLevel="0" collapsed="false">
      <c r="B565" s="24" t="n">
        <v>45743</v>
      </c>
      <c r="C565" s="38" t="n">
        <v>34.72</v>
      </c>
      <c r="D565" s="38" t="n">
        <v>481.62</v>
      </c>
      <c r="E565" s="23" t="n">
        <f aca="false">C565/C564-1</f>
        <v>-0.062634989200864</v>
      </c>
      <c r="F565" s="23" t="n">
        <f aca="false">D565/D564-1</f>
        <v>-0.00569800569800572</v>
      </c>
      <c r="G565" s="23" t="n">
        <f aca="false">E565-$K$7*F565</f>
        <v>-0.045516414579832</v>
      </c>
    </row>
    <row r="566" customFormat="false" ht="15" hidden="false" customHeight="false" outlineLevel="0" collapsed="false">
      <c r="B566" s="24" t="n">
        <v>45744</v>
      </c>
      <c r="C566" s="38" t="n">
        <v>34.26</v>
      </c>
      <c r="D566" s="38" t="n">
        <v>468.94</v>
      </c>
      <c r="E566" s="23" t="n">
        <f aca="false">C566/C565-1</f>
        <v>-0.0132488479262673</v>
      </c>
      <c r="F566" s="23" t="n">
        <f aca="false">D566/D565-1</f>
        <v>-0.0263278103068809</v>
      </c>
      <c r="G566" s="23" t="n">
        <f aca="false">E566-$K$7*F566</f>
        <v>0.0658480518020811</v>
      </c>
    </row>
    <row r="567" customFormat="false" ht="15" hidden="false" customHeight="false" outlineLevel="0" collapsed="false">
      <c r="B567" s="24" t="n">
        <v>45747</v>
      </c>
      <c r="C567" s="38" t="n">
        <v>34.24</v>
      </c>
      <c r="D567" s="38" t="n">
        <v>468.92</v>
      </c>
      <c r="E567" s="23" t="n">
        <f aca="false">C567/C566-1</f>
        <v>-0.000583771161704494</v>
      </c>
      <c r="F567" s="23" t="n">
        <f aca="false">D567/D566-1</f>
        <v>-4.26493794515315E-005</v>
      </c>
      <c r="G567" s="23" t="n">
        <f aca="false">E567-$K$7*F567</f>
        <v>-0.000455639211092847</v>
      </c>
    </row>
    <row r="568" customFormat="false" ht="15" hidden="false" customHeight="false" outlineLevel="0" collapsed="false">
      <c r="B568" s="24" t="n">
        <v>45748</v>
      </c>
      <c r="C568" s="38" t="n">
        <v>35.05</v>
      </c>
      <c r="D568" s="38" t="n">
        <v>472.7</v>
      </c>
      <c r="E568" s="23" t="n">
        <f aca="false">C568/C567-1</f>
        <v>0.0236565420560746</v>
      </c>
      <c r="F568" s="23" t="n">
        <f aca="false">D568/D567-1</f>
        <v>0.0080610765162501</v>
      </c>
      <c r="G568" s="23" t="n">
        <f aca="false">E568-$K$7*F568</f>
        <v>-0.000561429490983249</v>
      </c>
    </row>
    <row r="569" customFormat="false" ht="15" hidden="false" customHeight="false" outlineLevel="0" collapsed="false">
      <c r="B569" s="24" t="n">
        <v>45749</v>
      </c>
      <c r="C569" s="38" t="n">
        <v>35.09</v>
      </c>
      <c r="D569" s="38" t="n">
        <v>476.15</v>
      </c>
      <c r="E569" s="23" t="n">
        <f aca="false">C569/C568-1</f>
        <v>0.00114122681883044</v>
      </c>
      <c r="F569" s="23" t="n">
        <f aca="false">D569/D568-1</f>
        <v>0.0072984979902686</v>
      </c>
      <c r="G569" s="23" t="n">
        <f aca="false">E569-$K$7*F569</f>
        <v>-0.0207857225542798</v>
      </c>
    </row>
    <row r="570" customFormat="false" ht="15" hidden="false" customHeight="false" outlineLevel="0" collapsed="false">
      <c r="B570" s="24" t="n">
        <v>45750</v>
      </c>
      <c r="C570" s="38" t="n">
        <v>32.32</v>
      </c>
      <c r="D570" s="38" t="n">
        <v>450.66</v>
      </c>
      <c r="E570" s="23" t="n">
        <f aca="false">C570/C569-1</f>
        <v>-0.078939868908521</v>
      </c>
      <c r="F570" s="23" t="n">
        <f aca="false">D570/D569-1</f>
        <v>-0.0535335503517798</v>
      </c>
      <c r="G570" s="23" t="n">
        <f aca="false">E570-$K$7*F570</f>
        <v>0.0818915035041915</v>
      </c>
    </row>
    <row r="571" customFormat="false" ht="15" hidden="false" customHeight="false" outlineLevel="0" collapsed="false">
      <c r="B571" s="24" t="n">
        <v>45751</v>
      </c>
      <c r="C571" s="38" t="n">
        <v>29.82</v>
      </c>
      <c r="D571" s="38" t="n">
        <v>422.67</v>
      </c>
      <c r="E571" s="23" t="n">
        <f aca="false">C571/C570-1</f>
        <v>-0.0773514851485149</v>
      </c>
      <c r="F571" s="23" t="n">
        <f aca="false">D571/D570-1</f>
        <v>-0.0621089069364932</v>
      </c>
      <c r="G571" s="23" t="n">
        <f aca="false">E571-$K$7*F571</f>
        <v>0.109242915484537</v>
      </c>
    </row>
    <row r="572" customFormat="false" ht="15" hidden="false" customHeight="false" outlineLevel="0" collapsed="false">
      <c r="B572" s="24" t="n">
        <v>45754</v>
      </c>
      <c r="C572" s="38" t="n">
        <v>33</v>
      </c>
      <c r="D572" s="38" t="n">
        <v>423.69</v>
      </c>
      <c r="E572" s="23" t="n">
        <f aca="false">C572/C571-1</f>
        <v>0.106639839034205</v>
      </c>
      <c r="F572" s="23" t="n">
        <f aca="false">D572/D571-1</f>
        <v>0.00241323017957273</v>
      </c>
      <c r="G572" s="23" t="n">
        <f aca="false">E572-$K$7*F572</f>
        <v>0.0993897478450719</v>
      </c>
    </row>
    <row r="573" customFormat="false" ht="15" hidden="false" customHeight="false" outlineLevel="0" collapsed="false">
      <c r="B573" s="24" t="n">
        <v>45755</v>
      </c>
      <c r="C573" s="38" t="n">
        <v>31.71</v>
      </c>
      <c r="D573" s="38" t="n">
        <v>416.06</v>
      </c>
      <c r="E573" s="23" t="n">
        <f aca="false">C573/C572-1</f>
        <v>-0.0390909090909091</v>
      </c>
      <c r="F573" s="23" t="n">
        <f aca="false">D573/D572-1</f>
        <v>-0.018008449573981</v>
      </c>
      <c r="G573" s="23" t="n">
        <f aca="false">E573-$K$7*F573</f>
        <v>0.0150120532752362</v>
      </c>
    </row>
    <row r="574" customFormat="false" ht="15" hidden="false" customHeight="false" outlineLevel="0" collapsed="false">
      <c r="B574" s="24" t="n">
        <v>45756</v>
      </c>
      <c r="C574" s="38" t="n">
        <v>36.71</v>
      </c>
      <c r="D574" s="38" t="n">
        <v>466</v>
      </c>
      <c r="E574" s="23" t="n">
        <f aca="false">C574/C573-1</f>
        <v>0.157678965625985</v>
      </c>
      <c r="F574" s="23" t="n">
        <f aca="false">D574/D573-1</f>
        <v>0.120030764793539</v>
      </c>
      <c r="G574" s="23" t="n">
        <f aca="false">E574-$K$7*F574</f>
        <v>-0.202930642865088</v>
      </c>
    </row>
    <row r="575" customFormat="false" ht="15" hidden="false" customHeight="false" outlineLevel="0" collapsed="false">
      <c r="B575" s="24" t="n">
        <v>45757</v>
      </c>
      <c r="C575" s="38" t="n">
        <v>33.68</v>
      </c>
      <c r="D575" s="38" t="n">
        <v>446.18</v>
      </c>
      <c r="E575" s="23" t="n">
        <f aca="false">C575/C574-1</f>
        <v>-0.0825388177608282</v>
      </c>
      <c r="F575" s="23" t="n">
        <f aca="false">D575/D574-1</f>
        <v>-0.0425321888412017</v>
      </c>
      <c r="G575" s="23" t="n">
        <f aca="false">E575-$K$7*F575</f>
        <v>0.0452410559463471</v>
      </c>
    </row>
    <row r="576" customFormat="false" ht="15" hidden="false" customHeight="false" outlineLevel="0" collapsed="false">
      <c r="B576" s="24" t="n">
        <v>45758</v>
      </c>
      <c r="C576" s="38" t="n">
        <v>33.15</v>
      </c>
      <c r="D576" s="38" t="n">
        <v>454.4</v>
      </c>
      <c r="E576" s="23" t="n">
        <f aca="false">C576/C575-1</f>
        <v>-0.0157363420427554</v>
      </c>
      <c r="F576" s="23" t="n">
        <f aca="false">D576/D575-1</f>
        <v>0.0184230579586713</v>
      </c>
      <c r="G576" s="23" t="n">
        <f aca="false">E576-$K$7*F576</f>
        <v>-0.0710849164612563</v>
      </c>
    </row>
    <row r="577" customFormat="false" ht="15" hidden="false" customHeight="false" outlineLevel="0" collapsed="false">
      <c r="B577" s="24" t="n">
        <v>45761</v>
      </c>
      <c r="C577" s="38" t="n">
        <v>33.12</v>
      </c>
      <c r="D577" s="38" t="n">
        <v>457.48</v>
      </c>
      <c r="E577" s="23" t="n">
        <f aca="false">C577/C576-1</f>
        <v>-0.000904977375565608</v>
      </c>
      <c r="F577" s="23" t="n">
        <f aca="false">D577/D576-1</f>
        <v>0.00677816901408468</v>
      </c>
      <c r="G577" s="23" t="n">
        <f aca="false">E577-$K$7*F577</f>
        <v>-0.021268697282372</v>
      </c>
    </row>
    <row r="578" customFormat="false" ht="15" hidden="false" customHeight="false" outlineLevel="0" collapsed="false">
      <c r="B578" s="24" t="n">
        <v>45762</v>
      </c>
      <c r="C578" s="38" t="n">
        <v>33.48</v>
      </c>
      <c r="D578" s="38" t="n">
        <v>457.99</v>
      </c>
      <c r="E578" s="23" t="n">
        <f aca="false">C578/C577-1</f>
        <v>0.0108695652173914</v>
      </c>
      <c r="F578" s="23" t="n">
        <f aca="false">D578/D577-1</f>
        <v>0.00111480283291066</v>
      </c>
      <c r="G578" s="23" t="n">
        <f aca="false">E578-$K$7*F578</f>
        <v>0.0075203520901391</v>
      </c>
    </row>
    <row r="579" customFormat="false" ht="15" hidden="false" customHeight="false" outlineLevel="0" collapsed="false">
      <c r="B579" s="24" t="n">
        <v>45763</v>
      </c>
      <c r="C579" s="38" t="n">
        <v>31.89</v>
      </c>
      <c r="D579" s="38" t="n">
        <v>444.18</v>
      </c>
      <c r="E579" s="23" t="n">
        <f aca="false">C579/C578-1</f>
        <v>-0.0474910394265232</v>
      </c>
      <c r="F579" s="23" t="n">
        <f aca="false">D579/D578-1</f>
        <v>-0.0301534968012402</v>
      </c>
      <c r="G579" s="23" t="n">
        <f aca="false">E579-$K$7*F579</f>
        <v>0.0430994079045041</v>
      </c>
    </row>
    <row r="580" customFormat="false" ht="15" hidden="false" customHeight="false" outlineLevel="0" collapsed="false">
      <c r="B580" s="24" t="n">
        <v>45764</v>
      </c>
      <c r="C580" s="38" t="n">
        <v>31.505</v>
      </c>
      <c r="D580" s="38" t="n">
        <v>444.1</v>
      </c>
      <c r="E580" s="23" t="n">
        <f aca="false">C580/C579-1</f>
        <v>-0.0120727500783945</v>
      </c>
      <c r="F580" s="23" t="n">
        <f aca="false">D580/D579-1</f>
        <v>-0.000180107163762377</v>
      </c>
      <c r="G580" s="23" t="n">
        <f aca="false">E580-$K$7*F580</f>
        <v>-0.0115316523529696</v>
      </c>
    </row>
    <row r="581" customFormat="false" ht="15" hidden="false" customHeight="false" outlineLevel="0" collapsed="false">
      <c r="B581" s="24" t="n">
        <v>45768</v>
      </c>
      <c r="C581" s="38" t="n">
        <v>29.51</v>
      </c>
      <c r="D581" s="38" t="n">
        <v>433.11</v>
      </c>
      <c r="E581" s="23" t="n">
        <f aca="false">C581/C580-1</f>
        <v>-0.0633232820187271</v>
      </c>
      <c r="F581" s="23" t="n">
        <f aca="false">D581/D580-1</f>
        <v>-0.0247466786759739</v>
      </c>
      <c r="G581" s="23" t="n">
        <f aca="false">E581-$K$7*F581</f>
        <v>0.0110234083830795</v>
      </c>
    </row>
    <row r="582" customFormat="false" ht="15" hidden="false" customHeight="false" outlineLevel="0" collapsed="false">
      <c r="B582" s="24" t="n">
        <v>45769</v>
      </c>
      <c r="C582" s="38" t="n">
        <v>30.58</v>
      </c>
      <c r="D582" s="38" t="n">
        <v>444.48</v>
      </c>
      <c r="E582" s="23" t="n">
        <f aca="false">C582/C581-1</f>
        <v>0.0362588952897323</v>
      </c>
      <c r="F582" s="23" t="n">
        <f aca="false">D582/D581-1</f>
        <v>0.026251991410958</v>
      </c>
      <c r="G582" s="23" t="n">
        <f aca="false">E582-$K$7*F582</f>
        <v>-0.0426102209830828</v>
      </c>
    </row>
    <row r="583" customFormat="false" ht="15" hidden="false" customHeight="false" outlineLevel="0" collapsed="false">
      <c r="B583" s="24" t="n">
        <v>45770</v>
      </c>
      <c r="C583" s="38" t="n">
        <v>32.9</v>
      </c>
      <c r="D583" s="38" t="n">
        <v>454.56</v>
      </c>
      <c r="E583" s="23" t="n">
        <f aca="false">C583/C582-1</f>
        <v>0.0758665794637017</v>
      </c>
      <c r="F583" s="23" t="n">
        <f aca="false">D583/D582-1</f>
        <v>0.0226781857451404</v>
      </c>
      <c r="G583" s="23" t="n">
        <f aca="false">E583-$K$7*F583</f>
        <v>0.00773428274036139</v>
      </c>
    </row>
    <row r="584" customFormat="false" ht="15" hidden="false" customHeight="false" outlineLevel="0" collapsed="false">
      <c r="B584" s="24" t="n">
        <v>45771</v>
      </c>
      <c r="C584" s="38" t="n">
        <v>35.81</v>
      </c>
      <c r="D584" s="38" t="n">
        <v>467.35</v>
      </c>
      <c r="E584" s="23" t="n">
        <f aca="false">C584/C583-1</f>
        <v>0.0884498480243163</v>
      </c>
      <c r="F584" s="23" t="n">
        <f aca="false">D584/D583-1</f>
        <v>0.0281370996128125</v>
      </c>
      <c r="G584" s="23" t="n">
        <f aca="false">E584-$K$7*F584</f>
        <v>0.00391728261991117</v>
      </c>
    </row>
    <row r="585" customFormat="false" ht="15" hidden="false" customHeight="false" outlineLevel="0" collapsed="false">
      <c r="B585" s="24" t="n">
        <v>45772</v>
      </c>
      <c r="C585" s="38" t="n">
        <v>36.47</v>
      </c>
      <c r="D585" s="38" t="n">
        <v>472.56</v>
      </c>
      <c r="E585" s="23" t="n">
        <f aca="false">C585/C584-1</f>
        <v>0.0184306059759842</v>
      </c>
      <c r="F585" s="23" t="n">
        <f aca="false">D585/D584-1</f>
        <v>0.0111479619129131</v>
      </c>
      <c r="G585" s="23" t="n">
        <f aca="false">E585-$K$7*F585</f>
        <v>-0.0150613257617145</v>
      </c>
    </row>
    <row r="586" customFormat="false" ht="15" hidden="false" customHeight="false" outlineLevel="0" collapsed="false">
      <c r="B586" s="24" t="n">
        <v>45775</v>
      </c>
      <c r="C586" s="38" t="n">
        <v>37.27</v>
      </c>
      <c r="D586" s="38" t="n">
        <v>472.41</v>
      </c>
      <c r="E586" s="23" t="n">
        <f aca="false">C586/C585-1</f>
        <v>0.0219358376748013</v>
      </c>
      <c r="F586" s="23" t="n">
        <f aca="false">D586/D585-1</f>
        <v>-0.000317420010157443</v>
      </c>
      <c r="G586" s="23" t="n">
        <f aca="false">E586-$K$7*F586</f>
        <v>0.0228894657366319</v>
      </c>
    </row>
    <row r="587" customFormat="false" ht="15" hidden="false" customHeight="false" outlineLevel="0" collapsed="false">
      <c r="B587" s="24" t="n">
        <v>45776</v>
      </c>
      <c r="C587" s="38" t="n">
        <v>36</v>
      </c>
      <c r="D587" s="38" t="n">
        <v>475.53</v>
      </c>
      <c r="E587" s="23" t="n">
        <f aca="false">C587/C586-1</f>
        <v>-0.034075664072981</v>
      </c>
      <c r="F587" s="23" t="n">
        <f aca="false">D587/D586-1</f>
        <v>0.0066044325903345</v>
      </c>
      <c r="G587" s="23" t="n">
        <f aca="false">E587-$K$7*F587</f>
        <v>-0.0539174259313075</v>
      </c>
    </row>
    <row r="588" customFormat="false" ht="15" hidden="false" customHeight="false" outlineLevel="0" collapsed="false">
      <c r="B588" s="24" t="n">
        <v>45777</v>
      </c>
      <c r="C588" s="38" t="n">
        <v>31.86</v>
      </c>
      <c r="D588" s="38" t="n">
        <v>475.47</v>
      </c>
      <c r="E588" s="23" t="n">
        <f aca="false">C588/C587-1</f>
        <v>-0.115</v>
      </c>
      <c r="F588" s="23" t="n">
        <f aca="false">D588/D587-1</f>
        <v>-0.000126175004731444</v>
      </c>
      <c r="G588" s="23" t="n">
        <f aca="false">E588-$K$7*F588</f>
        <v>-0.114620931190967</v>
      </c>
    </row>
    <row r="589" customFormat="false" ht="15" hidden="false" customHeight="false" outlineLevel="0" collapsed="false">
      <c r="B589" s="24" t="n">
        <v>45778</v>
      </c>
      <c r="C589" s="38" t="n">
        <v>32.73</v>
      </c>
      <c r="D589" s="38" t="n">
        <v>481.68</v>
      </c>
      <c r="E589" s="23" t="n">
        <f aca="false">C589/C588-1</f>
        <v>0.027306967984934</v>
      </c>
      <c r="F589" s="23" t="n">
        <f aca="false">D589/D588-1</f>
        <v>0.0130607609312889</v>
      </c>
      <c r="G589" s="23" t="n">
        <f aca="false">E589-$K$7*F589</f>
        <v>-0.0119316046770733</v>
      </c>
    </row>
    <row r="590" customFormat="false" ht="15" hidden="false" customHeight="false" outlineLevel="0" collapsed="false">
      <c r="B590" s="24" t="n">
        <v>45779</v>
      </c>
      <c r="C590" s="38" t="n">
        <v>33.71</v>
      </c>
      <c r="D590" s="38" t="n">
        <v>488.83</v>
      </c>
      <c r="E590" s="23" t="n">
        <f aca="false">C590/C589-1</f>
        <v>0.0299419492820043</v>
      </c>
      <c r="F590" s="23" t="n">
        <f aca="false">D590/D589-1</f>
        <v>0.0148438797541937</v>
      </c>
      <c r="G590" s="23" t="n">
        <f aca="false">E590-$K$7*F590</f>
        <v>-0.0146536648162277</v>
      </c>
    </row>
    <row r="591" customFormat="false" ht="15" hidden="false" customHeight="false" outlineLevel="0" collapsed="false">
      <c r="B591" s="24" t="n">
        <v>45782</v>
      </c>
      <c r="C591" s="38" t="n">
        <v>32.17</v>
      </c>
      <c r="D591" s="38" t="n">
        <v>485.93</v>
      </c>
      <c r="E591" s="23" t="n">
        <f aca="false">C591/C590-1</f>
        <v>-0.0456837733610205</v>
      </c>
      <c r="F591" s="23" t="n">
        <f aca="false">D591/D590-1</f>
        <v>-0.00593253278235784</v>
      </c>
      <c r="G591" s="23" t="n">
        <f aca="false">E591-$K$7*F591</f>
        <v>-0.0278606067113178</v>
      </c>
    </row>
    <row r="592" customFormat="false" ht="15" hidden="false" customHeight="false" outlineLevel="0" collapsed="false">
      <c r="B592" s="24" t="n">
        <v>45783</v>
      </c>
      <c r="C592" s="38" t="n">
        <v>32.94</v>
      </c>
      <c r="D592" s="38" t="n">
        <v>481.41</v>
      </c>
      <c r="E592" s="23" t="n">
        <f aca="false">C592/C591-1</f>
        <v>0.0239353434877214</v>
      </c>
      <c r="F592" s="23" t="n">
        <f aca="false">D592/D591-1</f>
        <v>-0.00930175128104871</v>
      </c>
      <c r="G592" s="23" t="n">
        <f aca="false">E592-$K$7*F592</f>
        <v>0.0518806864463364</v>
      </c>
    </row>
    <row r="593" customFormat="false" ht="15" hidden="false" customHeight="false" outlineLevel="0" collapsed="false">
      <c r="B593" s="24" t="n">
        <v>45784</v>
      </c>
      <c r="C593" s="38" t="n">
        <v>32.48</v>
      </c>
      <c r="D593" s="38" t="n">
        <v>483.3</v>
      </c>
      <c r="E593" s="23" t="n">
        <f aca="false">C593/C592-1</f>
        <v>-0.0139647844565878</v>
      </c>
      <c r="F593" s="23" t="n">
        <f aca="false">D593/D592-1</f>
        <v>0.00392596747055518</v>
      </c>
      <c r="G593" s="23" t="n">
        <f aca="false">E593-$K$7*F593</f>
        <v>-0.0257596071834175</v>
      </c>
    </row>
    <row r="594" customFormat="false" ht="15" hidden="false" customHeight="false" outlineLevel="0" collapsed="false">
      <c r="B594" s="24" t="n">
        <v>45785</v>
      </c>
      <c r="C594" s="38" t="n">
        <v>32.11</v>
      </c>
      <c r="D594" s="38" t="n">
        <v>488.29</v>
      </c>
      <c r="E594" s="23" t="n">
        <f aca="false">C594/C593-1</f>
        <v>-0.0113916256157635</v>
      </c>
      <c r="F594" s="23" t="n">
        <f aca="false">D594/D593-1</f>
        <v>0.0103248499896544</v>
      </c>
      <c r="G594" s="23" t="n">
        <f aca="false">E594-$K$7*F594</f>
        <v>-0.0424106740980634</v>
      </c>
    </row>
    <row r="595" customFormat="false" ht="15" hidden="false" customHeight="false" outlineLevel="0" collapsed="false">
      <c r="B595" s="24" t="n">
        <v>45786</v>
      </c>
      <c r="C595" s="38" t="n">
        <v>31.99</v>
      </c>
      <c r="D595" s="38" t="n">
        <v>487.97</v>
      </c>
      <c r="E595" s="23" t="n">
        <f aca="false">C595/C594-1</f>
        <v>-0.00373715353472437</v>
      </c>
      <c r="F595" s="23" t="n">
        <f aca="false">D595/D594-1</f>
        <v>-0.000655348256159205</v>
      </c>
      <c r="G595" s="23" t="n">
        <f aca="false">E595-$K$7*F595</f>
        <v>-0.00176828431619217</v>
      </c>
    </row>
    <row r="596" customFormat="false" ht="15" hidden="false" customHeight="false" outlineLevel="0" collapsed="false">
      <c r="B596" s="24" t="n">
        <v>45789</v>
      </c>
      <c r="C596" s="38" t="n">
        <v>33.52</v>
      </c>
      <c r="D596" s="38" t="n">
        <v>507.85</v>
      </c>
      <c r="E596" s="23" t="n">
        <f aca="false">C596/C595-1</f>
        <v>0.0478274460768993</v>
      </c>
      <c r="F596" s="23" t="n">
        <f aca="false">D596/D595-1</f>
        <v>0.0407402094391049</v>
      </c>
      <c r="G596" s="23" t="n">
        <f aca="false">E596-$K$7*F596</f>
        <v>-0.0745687662687435</v>
      </c>
    </row>
    <row r="597" customFormat="false" ht="15" hidden="false" customHeight="false" outlineLevel="0" collapsed="false">
      <c r="B597" s="24" t="n">
        <v>45790</v>
      </c>
      <c r="C597" s="38" t="n">
        <v>38.89</v>
      </c>
      <c r="D597" s="38" t="n">
        <v>515.59</v>
      </c>
      <c r="E597" s="23" t="n">
        <f aca="false">C597/C596-1</f>
        <v>0.160202863961814</v>
      </c>
      <c r="F597" s="23" t="n">
        <f aca="false">D597/D596-1</f>
        <v>0.0152407206852416</v>
      </c>
      <c r="G597" s="23" t="n">
        <f aca="false">E597-$K$7*F597</f>
        <v>0.114415016747142</v>
      </c>
    </row>
    <row r="598" customFormat="false" ht="15" hidden="false" customHeight="false" outlineLevel="0" collapsed="false">
      <c r="B598" s="24" t="n">
        <v>45791</v>
      </c>
      <c r="C598" s="38" t="n">
        <v>45</v>
      </c>
      <c r="D598" s="38" t="n">
        <v>518.68</v>
      </c>
      <c r="E598" s="23" t="n">
        <f aca="false">C598/C597-1</f>
        <v>0.157109796862947</v>
      </c>
      <c r="F598" s="23" t="n">
        <f aca="false">D598/D597-1</f>
        <v>0.00599313407940394</v>
      </c>
      <c r="G598" s="23" t="n">
        <f aca="false">E598-$K$7*F598</f>
        <v>0.139104565139849</v>
      </c>
    </row>
    <row r="599" customFormat="false" ht="15" hidden="false" customHeight="false" outlineLevel="0" collapsed="false">
      <c r="B599" s="24" t="n">
        <v>45792</v>
      </c>
      <c r="C599" s="38" t="n">
        <v>43.96</v>
      </c>
      <c r="D599" s="38" t="n">
        <v>519.25</v>
      </c>
      <c r="E599" s="23" t="n">
        <f aca="false">C599/C598-1</f>
        <v>-0.0231111111111111</v>
      </c>
      <c r="F599" s="23" t="n">
        <f aca="false">D599/D598-1</f>
        <v>0.00109894347189021</v>
      </c>
      <c r="G599" s="23" t="n">
        <f aca="false">E599-$K$7*F599</f>
        <v>-0.0264126778038985</v>
      </c>
    </row>
    <row r="600" customFormat="false" ht="15" hidden="false" customHeight="false" outlineLevel="0" collapsed="false">
      <c r="B600" s="24" t="n">
        <v>45793</v>
      </c>
      <c r="C600" s="38" t="n">
        <v>46.15</v>
      </c>
      <c r="D600" s="38" t="n">
        <v>521.51</v>
      </c>
      <c r="E600" s="23" t="n">
        <f aca="false">C600/C599-1</f>
        <v>0.0498180163785258</v>
      </c>
      <c r="F600" s="23" t="n">
        <f aca="false">D600/D599-1</f>
        <v>0.00435243139142982</v>
      </c>
      <c r="G600" s="23" t="n">
        <f aca="false">E600-$K$7*F600</f>
        <v>0.0367419638952524</v>
      </c>
    </row>
    <row r="601" customFormat="false" ht="15" hidden="false" customHeight="false" outlineLevel="0" collapsed="false">
      <c r="B601" s="24" t="n">
        <v>45796</v>
      </c>
      <c r="C601" s="38" t="n">
        <v>44.79</v>
      </c>
      <c r="D601" s="38" t="n">
        <v>522.01</v>
      </c>
      <c r="E601" s="23" t="n">
        <f aca="false">C601/C600-1</f>
        <v>-0.0294691224268689</v>
      </c>
      <c r="F601" s="23" t="n">
        <f aca="false">D601/D600-1</f>
        <v>0.000958754386301219</v>
      </c>
      <c r="G601" s="23" t="n">
        <f aca="false">E601-$K$7*F601</f>
        <v>-0.0323495176695209</v>
      </c>
    </row>
    <row r="602" customFormat="false" ht="15" hidden="false" customHeight="false" outlineLevel="0" collapsed="false">
      <c r="B602" s="24" t="n">
        <v>45797</v>
      </c>
      <c r="C602" s="38" t="n">
        <v>42.77</v>
      </c>
      <c r="D602" s="38" t="n">
        <v>520.27</v>
      </c>
      <c r="E602" s="23" t="n">
        <f aca="false">C602/C601-1</f>
        <v>-0.0450993525340477</v>
      </c>
      <c r="F602" s="23" t="n">
        <f aca="false">D602/D601-1</f>
        <v>-0.00333326947759627</v>
      </c>
      <c r="G602" s="23" t="n">
        <f aca="false">E602-$K$7*F602</f>
        <v>-0.0350851782231636</v>
      </c>
    </row>
    <row r="603" customFormat="false" ht="15" hidden="false" customHeight="false" outlineLevel="0" collapsed="false">
      <c r="B603" s="24" t="n">
        <v>45798</v>
      </c>
      <c r="C603" s="38" t="n">
        <v>41.65</v>
      </c>
      <c r="D603" s="38" t="n">
        <v>513.04</v>
      </c>
      <c r="E603" s="23" t="n">
        <f aca="false">C603/C602-1</f>
        <v>-0.0261865793780689</v>
      </c>
      <c r="F603" s="23" t="n">
        <f aca="false">D603/D602-1</f>
        <v>-0.0138966305956523</v>
      </c>
      <c r="G603" s="23" t="n">
        <f aca="false">E603-$K$7*F603</f>
        <v>0.0155632047465504</v>
      </c>
    </row>
    <row r="604" customFormat="false" ht="15" hidden="false" customHeight="false" outlineLevel="0" collapsed="false">
      <c r="B604" s="24" t="n">
        <v>45799</v>
      </c>
      <c r="C604" s="38" t="n">
        <v>41.32</v>
      </c>
      <c r="D604" s="38" t="n">
        <v>514</v>
      </c>
      <c r="E604" s="23" t="n">
        <f aca="false">C604/C603-1</f>
        <v>-0.00792316926770709</v>
      </c>
      <c r="F604" s="23" t="n">
        <f aca="false">D604/D603-1</f>
        <v>0.00187119912677391</v>
      </c>
      <c r="G604" s="23" t="n">
        <f aca="false">E604-$K$7*F604</f>
        <v>-0.0135448312280839</v>
      </c>
    </row>
    <row r="605" customFormat="false" ht="15" hidden="false" customHeight="false" outlineLevel="0" collapsed="false">
      <c r="B605" s="24" t="n">
        <v>45800</v>
      </c>
      <c r="C605" s="38" t="n">
        <v>40.09</v>
      </c>
      <c r="D605" s="38" t="n">
        <v>509.24</v>
      </c>
      <c r="E605" s="23" t="n">
        <f aca="false">C605/C604-1</f>
        <v>-0.0297676669893513</v>
      </c>
      <c r="F605" s="23" t="n">
        <f aca="false">D605/D604-1</f>
        <v>-0.00926070038910509</v>
      </c>
      <c r="G605" s="23" t="n">
        <f aca="false">E605-$K$7*F605</f>
        <v>-0.00194565362958921</v>
      </c>
    </row>
    <row r="606" customFormat="false" ht="15" hidden="false" customHeight="false" outlineLevel="0" collapsed="false">
      <c r="B606" s="24" t="n">
        <v>45804</v>
      </c>
      <c r="C606" s="38" t="n">
        <v>41.57</v>
      </c>
      <c r="D606" s="38" t="n">
        <v>521.22</v>
      </c>
      <c r="E606" s="23" t="n">
        <f aca="false">C606/C605-1</f>
        <v>0.0369169368919928</v>
      </c>
      <c r="F606" s="23" t="n">
        <f aca="false">D606/D605-1</f>
        <v>0.0235252533186709</v>
      </c>
      <c r="G606" s="23" t="n">
        <f aca="false">E606-$K$7*F606</f>
        <v>-0.0337602132827252</v>
      </c>
    </row>
    <row r="607" customFormat="false" ht="15" hidden="false" customHeight="false" outlineLevel="0" collapsed="false">
      <c r="B607" s="24" t="n">
        <v>45805</v>
      </c>
      <c r="C607" s="38" t="n">
        <v>41.96</v>
      </c>
      <c r="D607" s="38" t="n">
        <v>518.91</v>
      </c>
      <c r="E607" s="23" t="n">
        <f aca="false">C607/C606-1</f>
        <v>0.00938176569641569</v>
      </c>
      <c r="F607" s="23" t="n">
        <f aca="false">D607/D606-1</f>
        <v>-0.00443190975020158</v>
      </c>
      <c r="G607" s="23" t="n">
        <f aca="false">E607-$K$7*F607</f>
        <v>0.0226965957954903</v>
      </c>
    </row>
    <row r="608" customFormat="false" ht="15" hidden="false" customHeight="false" outlineLevel="0" collapsed="false">
      <c r="B608" s="24" t="n">
        <v>45806</v>
      </c>
      <c r="C608" s="38" t="n">
        <v>41.15</v>
      </c>
      <c r="D608" s="38" t="n">
        <v>519.93</v>
      </c>
      <c r="E608" s="23" t="n">
        <f aca="false">C608/C607-1</f>
        <v>-0.0193040991420401</v>
      </c>
      <c r="F608" s="23" t="n">
        <f aca="false">D608/D607-1</f>
        <v>0.00196565878476029</v>
      </c>
      <c r="G608" s="23" t="n">
        <f aca="false">E608-$K$7*F608</f>
        <v>-0.0252095471829544</v>
      </c>
    </row>
    <row r="609" customFormat="false" ht="15" hidden="false" customHeight="false" outlineLevel="0" collapsed="false">
      <c r="B609" s="24" t="n">
        <v>45807</v>
      </c>
      <c r="C609" s="38" t="n">
        <v>40.02</v>
      </c>
      <c r="D609" s="38" t="n">
        <v>519.11</v>
      </c>
      <c r="E609" s="23" t="n">
        <f aca="false">C609/C608-1</f>
        <v>-0.027460510328068</v>
      </c>
      <c r="F609" s="23" t="n">
        <f aca="false">D609/D608-1</f>
        <v>-0.00157713538360926</v>
      </c>
      <c r="G609" s="23" t="n">
        <f aca="false">E609-$K$7*F609</f>
        <v>-0.0227223069666297</v>
      </c>
    </row>
    <row r="610" customFormat="false" ht="15" hidden="false" customHeight="false" outlineLevel="0" collapsed="false">
      <c r="B610" s="24" t="n">
        <v>45810</v>
      </c>
      <c r="C610" s="38" t="n">
        <v>41.2</v>
      </c>
      <c r="D610" s="38" t="n">
        <v>523.21</v>
      </c>
      <c r="E610" s="23" t="n">
        <f aca="false">C610/C609-1</f>
        <v>0.0294852573713142</v>
      </c>
      <c r="F610" s="23" t="n">
        <f aca="false">D610/D609-1</f>
        <v>0.00789813334360745</v>
      </c>
      <c r="G610" s="23" t="n">
        <f aca="false">E610-$K$7*F610</f>
        <v>0.00575681760216374</v>
      </c>
    </row>
    <row r="611" customFormat="false" ht="15" hidden="false" customHeight="false" outlineLevel="0" collapsed="false">
      <c r="B611" s="24" t="n">
        <v>45811</v>
      </c>
      <c r="C611" s="38" t="n">
        <v>43.19</v>
      </c>
      <c r="D611" s="38" t="n">
        <v>527.3</v>
      </c>
      <c r="E611" s="23" t="n">
        <f aca="false">C611/C610-1</f>
        <v>0.0483009708737863</v>
      </c>
      <c r="F611" s="23" t="n">
        <f aca="false">D611/D610-1</f>
        <v>0.00781712887750596</v>
      </c>
      <c r="G611" s="23" t="n">
        <f aca="false">E611-$K$7*F611</f>
        <v>0.0248158936197137</v>
      </c>
    </row>
    <row r="612" customFormat="false" ht="15" hidden="false" customHeight="false" outlineLevel="0" collapsed="false">
      <c r="B612" s="24" t="n">
        <v>45812</v>
      </c>
      <c r="C612" s="38" t="n">
        <v>44.13</v>
      </c>
      <c r="D612" s="38" t="n">
        <v>528.77</v>
      </c>
      <c r="E612" s="23" t="n">
        <f aca="false">C612/C611-1</f>
        <v>0.0217642972910397</v>
      </c>
      <c r="F612" s="23" t="n">
        <f aca="false">D612/D611-1</f>
        <v>0.00278778683861192</v>
      </c>
      <c r="G612" s="23" t="n">
        <f aca="false">E612-$K$7*F612</f>
        <v>0.0133889218432735</v>
      </c>
    </row>
    <row r="613" customFormat="false" ht="15" hidden="false" customHeight="false" outlineLevel="0" collapsed="false">
      <c r="B613" s="24" t="n">
        <v>45813</v>
      </c>
      <c r="C613" s="38" t="n">
        <v>40.77</v>
      </c>
      <c r="D613" s="38" t="n">
        <v>524.79</v>
      </c>
      <c r="E613" s="23" t="n">
        <f aca="false">C613/C612-1</f>
        <v>-0.0761386811692726</v>
      </c>
      <c r="F613" s="23" t="n">
        <f aca="false">D613/D612-1</f>
        <v>-0.00752690205571427</v>
      </c>
      <c r="G613" s="23" t="n">
        <f aca="false">E613-$K$7*F613</f>
        <v>-0.0535255352134795</v>
      </c>
    </row>
    <row r="614" customFormat="false" ht="15" hidden="false" customHeight="false" outlineLevel="0" collapsed="false">
      <c r="B614" s="24" t="n">
        <v>45814</v>
      </c>
      <c r="C614" s="38" t="n">
        <v>41.55</v>
      </c>
      <c r="D614" s="38" t="n">
        <v>529.92</v>
      </c>
      <c r="E614" s="23" t="n">
        <f aca="false">C614/C613-1</f>
        <v>0.0191317144959529</v>
      </c>
      <c r="F614" s="23" t="n">
        <f aca="false">D614/D613-1</f>
        <v>0.00977533870691127</v>
      </c>
      <c r="G614" s="23" t="n">
        <f aca="false">E614-$K$7*F614</f>
        <v>-0.0102364318291186</v>
      </c>
    </row>
    <row r="615" customFormat="false" ht="15" hidden="false" customHeight="false" outlineLevel="0" collapsed="false">
      <c r="B615" s="24" t="n">
        <v>45817</v>
      </c>
      <c r="C615" s="38" t="n">
        <v>43.12</v>
      </c>
      <c r="D615" s="38" t="n">
        <v>530.7</v>
      </c>
      <c r="E615" s="23" t="n">
        <f aca="false">C615/C614-1</f>
        <v>0.0377858002406739</v>
      </c>
      <c r="F615" s="23" t="n">
        <f aca="false">D615/D614-1</f>
        <v>0.00147192028985521</v>
      </c>
      <c r="G615" s="23" t="n">
        <f aca="false">E615-$K$7*F615</f>
        <v>0.0333636956213478</v>
      </c>
    </row>
    <row r="616" customFormat="false" ht="15" hidden="false" customHeight="false" outlineLevel="0" collapsed="false">
      <c r="B616" s="24" t="n">
        <v>45818</v>
      </c>
      <c r="C616" s="38" t="n">
        <v>42.91</v>
      </c>
      <c r="D616" s="38" t="n">
        <v>534.21</v>
      </c>
      <c r="E616" s="23" t="n">
        <f aca="false">C616/C615-1</f>
        <v>-0.00487012987012991</v>
      </c>
      <c r="F616" s="23" t="n">
        <f aca="false">D616/D615-1</f>
        <v>0.00661390616167323</v>
      </c>
      <c r="G616" s="23" t="n">
        <f aca="false">E616-$K$7*F616</f>
        <v>-0.024740353272106</v>
      </c>
    </row>
    <row r="617" customFormat="false" ht="15" hidden="false" customHeight="false" outlineLevel="0" collapsed="false">
      <c r="B617" s="24" t="n">
        <v>45819</v>
      </c>
      <c r="C617" s="38" t="n">
        <v>43.21</v>
      </c>
      <c r="D617" s="38" t="n">
        <v>532.41</v>
      </c>
      <c r="E617" s="23" t="n">
        <f aca="false">C617/C616-1</f>
        <v>0.00699137730132837</v>
      </c>
      <c r="F617" s="23" t="n">
        <f aca="false">D617/D616-1</f>
        <v>-0.00336946144774541</v>
      </c>
      <c r="G617" s="23" t="n">
        <f aca="false">E617-$K$7*F617</f>
        <v>0.0171142835044774</v>
      </c>
    </row>
    <row r="618" customFormat="false" ht="15" hidden="false" customHeight="false" outlineLevel="0" collapsed="false">
      <c r="B618" s="24" t="n">
        <v>45820</v>
      </c>
      <c r="C618" s="38" t="n">
        <v>43.36</v>
      </c>
      <c r="D618" s="38" t="n">
        <v>533.66</v>
      </c>
      <c r="E618" s="23" t="n">
        <f aca="false">C618/C617-1</f>
        <v>0.00347141865308953</v>
      </c>
      <c r="F618" s="23" t="n">
        <f aca="false">D618/D617-1</f>
        <v>0.00234781465412004</v>
      </c>
      <c r="G618" s="23" t="n">
        <f aca="false">E618-$K$7*F618</f>
        <v>-0.0035821440288455</v>
      </c>
    </row>
    <row r="619" customFormat="false" ht="15" hidden="false" customHeight="false" outlineLevel="0" collapsed="false">
      <c r="B619" s="24" t="n">
        <v>45821</v>
      </c>
      <c r="C619" s="38" t="n">
        <v>41.56</v>
      </c>
      <c r="D619" s="38" t="n">
        <v>526.96</v>
      </c>
      <c r="E619" s="23" t="n">
        <f aca="false">C619/C618-1</f>
        <v>-0.0415129151291512</v>
      </c>
      <c r="F619" s="23" t="n">
        <f aca="false">D619/D618-1</f>
        <v>-0.0125548101787654</v>
      </c>
      <c r="G619" s="23" t="n">
        <f aca="false">E619-$K$7*F619</f>
        <v>-0.00379437529453711</v>
      </c>
    </row>
    <row r="620" customFormat="false" ht="15" hidden="false" customHeight="false" outlineLevel="0" collapsed="false">
      <c r="B620" s="24" t="n">
        <v>45824</v>
      </c>
      <c r="C620" s="38" t="n">
        <v>43.69</v>
      </c>
      <c r="D620" s="38" t="n">
        <v>534.29</v>
      </c>
      <c r="E620" s="23" t="n">
        <f aca="false">C620/C619-1</f>
        <v>0.0512512030798844</v>
      </c>
      <c r="F620" s="23" t="n">
        <f aca="false">D620/D619-1</f>
        <v>0.0139099741915893</v>
      </c>
      <c r="G620" s="23" t="n">
        <f aca="false">E620-$K$7*F620</f>
        <v>0.00946133065861037</v>
      </c>
    </row>
    <row r="621" customFormat="false" ht="15" hidden="false" customHeight="false" outlineLevel="0" collapsed="false">
      <c r="B621" s="24" t="n">
        <v>45825</v>
      </c>
      <c r="C621" s="38" t="n">
        <v>43.11</v>
      </c>
      <c r="D621" s="38" t="n">
        <v>529.08</v>
      </c>
      <c r="E621" s="23" t="n">
        <f aca="false">C621/C620-1</f>
        <v>-0.0132753490501258</v>
      </c>
      <c r="F621" s="23" t="n">
        <f aca="false">D621/D620-1</f>
        <v>-0.00975125867974303</v>
      </c>
      <c r="G621" s="23" t="n">
        <f aca="false">E621-$K$7*F621</f>
        <v>0.0160204534122323</v>
      </c>
    </row>
    <row r="622" customFormat="false" ht="15" hidden="false" customHeight="false" outlineLevel="0" collapsed="false">
      <c r="B622" s="24" t="n">
        <v>45826</v>
      </c>
      <c r="C622" s="38" t="n">
        <v>44.47</v>
      </c>
      <c r="D622" s="38" t="n">
        <v>528.99</v>
      </c>
      <c r="E622" s="23" t="n">
        <f aca="false">C622/C621-1</f>
        <v>0.0315472048248666</v>
      </c>
      <c r="F622" s="23" t="n">
        <f aca="false">D622/D621-1</f>
        <v>-0.000170106600136166</v>
      </c>
      <c r="G622" s="23" t="n">
        <f aca="false">E622-$K$7*F622</f>
        <v>0.0320582577585238</v>
      </c>
    </row>
    <row r="623" customFormat="false" ht="15" hidden="false" customHeight="false" outlineLevel="0" collapsed="false">
      <c r="B623" s="24" t="n">
        <v>45828</v>
      </c>
      <c r="C623" s="38" t="n">
        <v>45.32</v>
      </c>
      <c r="D623" s="38" t="n">
        <v>526.83</v>
      </c>
      <c r="E623" s="23" t="n">
        <f aca="false">C623/C622-1</f>
        <v>0.0191140094445694</v>
      </c>
      <c r="F623" s="23" t="n">
        <f aca="false">D623/D622-1</f>
        <v>-0.00408325299154988</v>
      </c>
      <c r="G623" s="23" t="n">
        <f aca="false">E623-$K$7*F623</f>
        <v>0.0313813666107554</v>
      </c>
    </row>
    <row r="624" customFormat="false" ht="15" hidden="false" customHeight="false" outlineLevel="0" collapsed="false">
      <c r="B624" s="24" t="n">
        <v>45831</v>
      </c>
      <c r="C624" s="38" t="n">
        <v>40.89</v>
      </c>
      <c r="D624" s="38" t="n">
        <v>531.65</v>
      </c>
      <c r="E624" s="23" t="n">
        <f aca="false">C624/C623-1</f>
        <v>-0.0977493380406002</v>
      </c>
      <c r="F624" s="23" t="n">
        <f aca="false">D624/D623-1</f>
        <v>0.00914906136704419</v>
      </c>
      <c r="G624" s="23" t="n">
        <f aca="false">E624-$K$7*F624</f>
        <v>-0.125235953187188</v>
      </c>
    </row>
    <row r="625" customFormat="false" ht="15" hidden="false" customHeight="false" outlineLevel="0" collapsed="false">
      <c r="B625" s="24" t="n">
        <v>45832</v>
      </c>
      <c r="C625" s="38" t="n">
        <v>42.84</v>
      </c>
      <c r="D625" s="38" t="n">
        <v>539.78</v>
      </c>
      <c r="E625" s="23" t="n">
        <f aca="false">C625/C624-1</f>
        <v>0.0476889214966985</v>
      </c>
      <c r="F625" s="23" t="n">
        <f aca="false">D625/D624-1</f>
        <v>0.0152920154236811</v>
      </c>
      <c r="G625" s="23" t="n">
        <f aca="false">E625-$K$7*F625</f>
        <v>0.00174696899428555</v>
      </c>
    </row>
    <row r="626" customFormat="false" ht="15" hidden="false" customHeight="false" outlineLevel="0" collapsed="false">
      <c r="B626" s="24" t="n">
        <v>45833</v>
      </c>
      <c r="C626" s="38" t="n">
        <v>46.61</v>
      </c>
      <c r="D626" s="38" t="n">
        <v>541.16</v>
      </c>
      <c r="E626" s="23" t="n">
        <f aca="false">C626/C625-1</f>
        <v>0.088001867413632</v>
      </c>
      <c r="F626" s="23" t="n">
        <f aca="false">D626/D625-1</f>
        <v>0.00255659713216505</v>
      </c>
      <c r="G626" s="23" t="n">
        <f aca="false">E626-$K$7*F626</f>
        <v>0.080321057477236</v>
      </c>
    </row>
    <row r="627" customFormat="false" ht="15" hidden="false" customHeight="false" outlineLevel="0" collapsed="false">
      <c r="B627" s="24" t="n">
        <v>45834</v>
      </c>
      <c r="C627" s="38" t="n">
        <v>49.27</v>
      </c>
      <c r="D627" s="38" t="n">
        <v>546.22</v>
      </c>
      <c r="E627" s="23" t="n">
        <f aca="false">C627/C626-1</f>
        <v>0.0570692984338126</v>
      </c>
      <c r="F627" s="23" t="n">
        <f aca="false">D627/D626-1</f>
        <v>0.00935028457387843</v>
      </c>
      <c r="G627" s="23" t="n">
        <f aca="false">E627-$K$7*F627</f>
        <v>0.0289781464256909</v>
      </c>
    </row>
    <row r="628" customFormat="false" ht="15" hidden="false" customHeight="false" outlineLevel="0" collapsed="false">
      <c r="B628" s="24" t="n">
        <v>45835</v>
      </c>
      <c r="C628" s="38" t="n">
        <v>47.58</v>
      </c>
      <c r="D628" s="38" t="n">
        <v>548.09</v>
      </c>
      <c r="E628" s="23" t="n">
        <f aca="false">C628/C627-1</f>
        <v>-0.0343007915567284</v>
      </c>
      <c r="F628" s="23" t="n">
        <f aca="false">D628/D627-1</f>
        <v>0.00342352898099674</v>
      </c>
      <c r="G628" s="23" t="n">
        <f aca="false">E628-$K$7*F628</f>
        <v>-0.0445861333823728</v>
      </c>
    </row>
    <row r="629" customFormat="false" ht="15" hidden="false" customHeight="false" outlineLevel="0" collapsed="false">
      <c r="B629" s="24" t="n">
        <v>45838</v>
      </c>
      <c r="C629" s="38" t="n">
        <v>49.01</v>
      </c>
      <c r="D629" s="38" t="n">
        <v>551.64</v>
      </c>
      <c r="E629" s="23" t="n">
        <f aca="false">C629/C628-1</f>
        <v>0.0300546448087431</v>
      </c>
      <c r="F629" s="23" t="n">
        <f aca="false">D629/D628-1</f>
        <v>0.0064770384425914</v>
      </c>
      <c r="G629" s="23" t="n">
        <f aca="false">E629-$K$7*F629</f>
        <v>0.0105956144428029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56"/>
    <col collapsed="false" customWidth="true" hidden="false" outlineLevel="0" max="5" min="3" style="0" width="14"/>
    <col collapsed="false" customWidth="true" hidden="false" outlineLevel="0" max="6" min="6" style="0" width="10"/>
  </cols>
  <sheetData>
    <row r="2" customFormat="false" ht="17.35" hidden="false" customHeight="false" outlineLevel="0" collapsed="false">
      <c r="B2" s="1" t="s">
        <v>18</v>
      </c>
    </row>
    <row r="3" customFormat="false" ht="15" hidden="false" customHeight="false" outlineLevel="0" collapsed="false">
      <c r="B3" s="2" t="s">
        <v>285</v>
      </c>
    </row>
    <row r="5" customFormat="false" ht="15" hidden="false" customHeight="false" outlineLevel="0" collapsed="false">
      <c r="B5" s="11" t="s">
        <v>286</v>
      </c>
      <c r="C5" s="12" t="s">
        <v>287</v>
      </c>
      <c r="D5" s="12" t="s">
        <v>288</v>
      </c>
      <c r="E5" s="12" t="s">
        <v>289</v>
      </c>
      <c r="F5" s="12" t="s">
        <v>290</v>
      </c>
    </row>
    <row r="6" customFormat="false" ht="15" hidden="false" customHeight="false" outlineLevel="0" collapsed="false">
      <c r="B6" s="6" t="s">
        <v>291</v>
      </c>
      <c r="C6" s="22" t="n">
        <f aca="false">Timeline!E46</f>
        <v>0.290982568034524</v>
      </c>
      <c r="D6" s="41" t="n">
        <v>0.29098257</v>
      </c>
      <c r="E6" s="20" t="n">
        <f aca="false">C6-D6</f>
        <v>-1.96547617070664E-009</v>
      </c>
      <c r="F6" s="42" t="str">
        <f aca="false">IF(ABS(E6)&lt;0.0005,"OK","CHECK")</f>
        <v>OK</v>
      </c>
    </row>
    <row r="7" customFormat="false" ht="15" hidden="false" customHeight="false" outlineLevel="0" collapsed="false">
      <c r="B7" s="6" t="s">
        <v>292</v>
      </c>
      <c r="C7" s="22" t="n">
        <f aca="false">Timeline!F46</f>
        <v>4.01310072355212</v>
      </c>
      <c r="D7" s="41" t="n">
        <v>4.01310072</v>
      </c>
      <c r="E7" s="20" t="n">
        <f aca="false">C7-D7</f>
        <v>3.5521185992593E-009</v>
      </c>
      <c r="F7" s="42" t="str">
        <f aca="false">IF(ABS(E7)&lt;0.0005,"OK","CHECK")</f>
        <v>OK</v>
      </c>
    </row>
    <row r="8" customFormat="false" ht="15" hidden="false" customHeight="false" outlineLevel="0" collapsed="false">
      <c r="B8" s="6" t="s">
        <v>293</v>
      </c>
      <c r="C8" s="22" t="n">
        <f aca="false">Timeline!E47</f>
        <v>0.661711509860646</v>
      </c>
      <c r="D8" s="41" t="n">
        <v>0.66171151</v>
      </c>
      <c r="E8" s="20" t="n">
        <f aca="false">C8-D8</f>
        <v>-1.3935386178332E-010</v>
      </c>
      <c r="F8" s="42" t="str">
        <f aca="false">IF(ABS(E8)&lt;0.0005,"OK","CHECK")</f>
        <v>OK</v>
      </c>
    </row>
    <row r="9" customFormat="false" ht="15" hidden="false" customHeight="false" outlineLevel="0" collapsed="false">
      <c r="B9" s="6" t="s">
        <v>294</v>
      </c>
      <c r="C9" s="22" t="n">
        <f aca="false">Timeline!F47</f>
        <v>6.12925807373421</v>
      </c>
      <c r="D9" s="41" t="n">
        <v>6.12925807</v>
      </c>
      <c r="E9" s="20" t="n">
        <f aca="false">C9-D9</f>
        <v>3.73420938615254E-009</v>
      </c>
      <c r="F9" s="42" t="str">
        <f aca="false">IF(ABS(E9)&lt;0.0005,"OK","CHECK")</f>
        <v>OK</v>
      </c>
    </row>
    <row r="10" customFormat="false" ht="15" hidden="false" customHeight="false" outlineLevel="0" collapsed="false">
      <c r="B10" s="6" t="s">
        <v>295</v>
      </c>
      <c r="C10" s="22" t="n">
        <f aca="false">Timeline!E50</f>
        <v>-0.912127063502043</v>
      </c>
      <c r="D10" s="41" t="n">
        <v>-0.91212706</v>
      </c>
      <c r="E10" s="20" t="n">
        <f aca="false">C10-D10</f>
        <v>-3.5020425448451E-009</v>
      </c>
      <c r="F10" s="42" t="str">
        <f aca="false">IF(ABS(E10)&lt;0.0005,"OK","CHECK")</f>
        <v>OK</v>
      </c>
    </row>
    <row r="11" customFormat="false" ht="15" hidden="false" customHeight="false" outlineLevel="0" collapsed="false">
      <c r="B11" s="6" t="s">
        <v>296</v>
      </c>
      <c r="C11" s="22" t="n">
        <f aca="false">Timeline!F50</f>
        <v>1.91407117678715</v>
      </c>
      <c r="D11" s="41" t="n">
        <v>1.91407118</v>
      </c>
      <c r="E11" s="20" t="n">
        <f aca="false">C11-D11</f>
        <v>-3.21285331672527E-009</v>
      </c>
      <c r="F11" s="42" t="str">
        <f aca="false">IF(ABS(E11)&lt;0.0005,"OK","CHECK")</f>
        <v>OK</v>
      </c>
    </row>
    <row r="12" customFormat="false" ht="15" hidden="false" customHeight="false" outlineLevel="0" collapsed="false">
      <c r="B12" s="6" t="s">
        <v>297</v>
      </c>
      <c r="C12" s="22" t="n">
        <f aca="false">Timeline!E14</f>
        <v>-1.54004374399483</v>
      </c>
      <c r="D12" s="41" t="n">
        <v>-1.54004374</v>
      </c>
      <c r="E12" s="20" t="n">
        <f aca="false">C12-D12</f>
        <v>-3.9948344632279E-009</v>
      </c>
      <c r="F12" s="42" t="str">
        <f aca="false">IF(ABS(E12)&lt;0.0005,"OK","CHECK")</f>
        <v>OK</v>
      </c>
    </row>
    <row r="13" customFormat="false" ht="15" hidden="false" customHeight="false" outlineLevel="0" collapsed="false">
      <c r="B13" s="6" t="s">
        <v>298</v>
      </c>
      <c r="C13" s="43" t="n">
        <f aca="false">Timeline!G46</f>
        <v>0.481525558909981</v>
      </c>
      <c r="D13" s="44" t="n">
        <v>0.48152556</v>
      </c>
      <c r="E13" s="20" t="n">
        <f aca="false">C13-D13</f>
        <v>-1.09001907500073E-009</v>
      </c>
      <c r="F13" s="42" t="str">
        <f aca="false">IF(ABS(E13)&lt;0.0005,"OK","CHECK")</f>
        <v>OK</v>
      </c>
    </row>
    <row r="14" customFormat="false" ht="15" hidden="false" customHeight="false" outlineLevel="0" collapsed="false">
      <c r="B14" s="6" t="s">
        <v>299</v>
      </c>
      <c r="C14" s="45" t="n">
        <f aca="false">Validation!C45</f>
        <v>12</v>
      </c>
      <c r="D14" s="33" t="n">
        <v>12</v>
      </c>
      <c r="E14" s="20" t="n">
        <f aca="false">C14-D14</f>
        <v>0</v>
      </c>
      <c r="F14" s="42" t="str">
        <f aca="false">IF(ABS(E14)&lt;0.0005,"OK","CHECK")</f>
        <v>OK</v>
      </c>
    </row>
    <row r="15" customFormat="false" ht="15" hidden="false" customHeight="false" outlineLevel="0" collapsed="false">
      <c r="B15" s="6" t="s">
        <v>300</v>
      </c>
      <c r="C15" s="45" t="n">
        <f aca="false">Validation!F45</f>
        <v>9</v>
      </c>
      <c r="D15" s="33" t="n">
        <v>9</v>
      </c>
      <c r="E15" s="20" t="n">
        <f aca="false">C15-D15</f>
        <v>0</v>
      </c>
      <c r="F15" s="42" t="str">
        <f aca="false">IF(ABS(E15)&lt;0.0005,"OK","CHECK")</f>
        <v>OK</v>
      </c>
    </row>
    <row r="16" customFormat="false" ht="15" hidden="false" customHeight="false" outlineLevel="0" collapsed="false">
      <c r="B16" s="6" t="s">
        <v>301</v>
      </c>
      <c r="C16" s="45" t="n">
        <f aca="false">Validation!C46</f>
        <v>4</v>
      </c>
      <c r="D16" s="33" t="n">
        <v>4</v>
      </c>
      <c r="E16" s="20" t="n">
        <f aca="false">C16-D16</f>
        <v>0</v>
      </c>
      <c r="F16" s="42" t="str">
        <f aca="false">IF(ABS(E16)&lt;0.0005,"OK","CHECK")</f>
        <v>OK</v>
      </c>
    </row>
    <row r="17" customFormat="false" ht="15" hidden="false" customHeight="false" outlineLevel="0" collapsed="false">
      <c r="B17" s="6" t="s">
        <v>302</v>
      </c>
      <c r="C17" s="43" t="n">
        <f aca="false">Validation!H45</f>
        <v>0.115789473684211</v>
      </c>
      <c r="D17" s="44" t="n">
        <v>0.11578947</v>
      </c>
      <c r="E17" s="20" t="n">
        <f aca="false">C17-D17</f>
        <v>3.68421051999412E-009</v>
      </c>
      <c r="F17" s="42" t="str">
        <f aca="false">IF(ABS(E17)&lt;0.0005,"OK","CHECK")</f>
        <v>OK</v>
      </c>
    </row>
    <row r="18" customFormat="false" ht="15" hidden="false" customHeight="false" outlineLevel="0" collapsed="false">
      <c r="B18" s="6" t="s">
        <v>303</v>
      </c>
      <c r="C18" s="43" t="n">
        <f aca="false">Universe!G14</f>
        <v>0.975708502024292</v>
      </c>
      <c r="D18" s="44" t="n">
        <v>0.9757085</v>
      </c>
      <c r="E18" s="20" t="n">
        <f aca="false">C18-D18</f>
        <v>2.02429151219263E-009</v>
      </c>
      <c r="F18" s="42" t="str">
        <f aca="false">IF(ABS(E18)&lt;0.0005,"OK","CHECK")</f>
        <v>OK</v>
      </c>
    </row>
    <row r="19" customFormat="false" ht="15" hidden="false" customHeight="false" outlineLevel="0" collapsed="false">
      <c r="B19" s="6" t="s">
        <v>304</v>
      </c>
      <c r="C19" s="22" t="n">
        <f aca="false">Market!K7</f>
        <v>3.0043098459911</v>
      </c>
      <c r="D19" s="41" t="n">
        <v>3.00430985</v>
      </c>
      <c r="E19" s="20" t="n">
        <f aca="false">C19-D19</f>
        <v>-4.00889543783478E-009</v>
      </c>
      <c r="F19" s="42" t="str">
        <f aca="false">IF(ABS(E19)&lt;0.0005,"OK","CHECK")</f>
        <v>OK</v>
      </c>
    </row>
    <row r="20" customFormat="false" ht="15" hidden="false" customHeight="false" outlineLevel="0" collapsed="false">
      <c r="B20" s="6" t="s">
        <v>305</v>
      </c>
      <c r="C20" s="46" t="n">
        <f aca="false">Market!M16</f>
        <v>-0.30404549759791</v>
      </c>
      <c r="D20" s="14" t="n">
        <v>-0.3040455</v>
      </c>
      <c r="E20" s="20" t="n">
        <f aca="false">C20-D20</f>
        <v>2.4020904709765E-009</v>
      </c>
      <c r="F20" s="42" t="str">
        <f aca="false">IF(ABS(E20)&lt;0.0005,"OK","CHECK")</f>
        <v>OK</v>
      </c>
    </row>
    <row r="21" customFormat="false" ht="15" hidden="false" customHeight="false" outlineLevel="0" collapsed="false">
      <c r="B21" s="6" t="s">
        <v>306</v>
      </c>
      <c r="C21" s="43" t="n">
        <f aca="false">Market!K24</f>
        <v>-0.783103510567833</v>
      </c>
      <c r="D21" s="44" t="n">
        <v>-0.78310351</v>
      </c>
      <c r="E21" s="20" t="n">
        <f aca="false">C21-D21</f>
        <v>-5.67832780795641E-010</v>
      </c>
      <c r="F21" s="42" t="str">
        <f aca="false">IF(ABS(E21)&lt;0.0005,"OK","CHECK")</f>
        <v>OK</v>
      </c>
    </row>
    <row r="24" customFormat="false" ht="15" hidden="false" customHeight="false" outlineLevel="0" collapsed="false">
      <c r="B24" s="2"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AppVersion>16.0300</AppVersion>
  <Company>Alessandro Radice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Radice</dc:creator>
  <dc:description>Educational project. Financial data from SEC EDGAR XBRL; prices from DoltHub.</dc:description>
  <cp:keywords>forensic accounting earnings quality Beneish M-score Dechow F-score Super Micro due diligence</cp:keywords>
  <dc:language>en-US</dc:language>
  <cp:lastModifiedBy>Alessandro Radice</cp:lastModifiedBy>
  <cp:revision>0</cp:revision>
  <dc:subject>Beneish M-score and Dechow F-score on Super Micro, point in time from SEC filings, with validation and market reaction</dc:subject>
  <dc:title>Super Micro Forensic Analysis: Earnings Quality and Accounting Red Flags</dc:title>
</cp:coreProperties>
</file>

<file path=docProps/custom.xml><?xml version="1.0" encoding="utf-8"?>
<Properties xmlns="http://schemas.openxmlformats.org/officeDocument/2006/custom-properties" xmlns:vt="http://schemas.openxmlformats.org/officeDocument/2006/docPropsVTypes"/>
</file>